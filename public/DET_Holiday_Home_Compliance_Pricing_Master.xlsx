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o" sheetId="1" state="visible" r:id="rId1"/>
    <sheet xmlns:r="http://schemas.openxmlformats.org/officeDocument/2006/relationships" name="1BR" sheetId="2" state="visible" r:id="rId2"/>
    <sheet xmlns:r="http://schemas.openxmlformats.org/officeDocument/2006/relationships" name="2BR" sheetId="3" state="visible" r:id="rId3"/>
    <sheet xmlns:r="http://schemas.openxmlformats.org/officeDocument/2006/relationships" name="3BR" sheetId="4" state="visible" r:id="rId4"/>
    <sheet xmlns:r="http://schemas.openxmlformats.org/officeDocument/2006/relationships" name="4B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3" fillId="3" borderId="1" pivotButton="0" quotePrefix="0" xfId="0"/>
    <xf numFmtId="3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  <xf numFmtId="0" fontId="4" fillId="0" borderId="2" pivotButton="0" quotePrefix="0" xfId="0"/>
    <xf numFmtId="0" fontId="0" fillId="0" borderId="2" pivotButton="0" quotePrefix="0" xfId="0"/>
    <xf numFmtId="3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72" customWidth="1" min="3" max="3"/>
    <col width="12" customWidth="1" min="4" max="4"/>
    <col width="26" customWidth="1" min="5" max="5"/>
    <col width="19" customWidth="1" min="6" max="6"/>
  </cols>
  <sheetData>
    <row r="1" ht="40" customHeight="1">
      <c r="A1" s="1" t="inlineStr">
        <is>
          <t>DET Dubai Holiday Home Compliance Inventory Checklist — Studio Unit</t>
        </is>
      </c>
    </row>
    <row r="2"/>
    <row r="3" ht="28" customHeight="1">
      <c r="A3" s="2" t="inlineStr">
        <is>
          <t>Category</t>
        </is>
      </c>
      <c r="B3" s="2" t="inlineStr">
        <is>
          <t>Item Name</t>
        </is>
      </c>
      <c r="C3" s="2" t="inlineStr">
        <is>
          <t>DET Required Specification</t>
        </is>
      </c>
      <c r="D3" s="3" t="inlineStr">
        <is>
          <t>Quantity</t>
        </is>
      </c>
      <c r="E3" s="3" t="inlineStr">
        <is>
          <t>Approx Unit Price (AED)</t>
        </is>
      </c>
      <c r="F3" s="3" t="inlineStr">
        <is>
          <t>Total Cost (AED)</t>
        </is>
      </c>
    </row>
    <row r="4" ht="20" customHeight="1">
      <c r="A4" s="4" t="inlineStr">
        <is>
          <t>Compliance &amp; Safety</t>
        </is>
      </c>
      <c r="B4" s="4" t="inlineStr">
        <is>
          <t>SIRA-Approved Smart Lock</t>
        </is>
      </c>
      <c r="C4" s="4" t="inlineStr">
        <is>
          <t>Connected to Keyless/DET portal system</t>
        </is>
      </c>
      <c r="D4" s="5" t="n">
        <v>1</v>
      </c>
      <c r="E4" s="6" t="n">
        <v>800</v>
      </c>
      <c r="F4" s="6">
        <f>D4*E4</f>
        <v/>
      </c>
    </row>
    <row r="5" ht="20" customHeight="1">
      <c r="A5" s="7" t="inlineStr">
        <is>
          <t>Compliance &amp; Safety</t>
        </is>
      </c>
      <c r="B5" s="7" t="inlineStr">
        <is>
          <t>Fire Extinguisher (4.5kg Powder)</t>
        </is>
      </c>
      <c r="C5" s="7" t="inlineStr">
        <is>
          <t>Certified, tag valid for 1 year, kitchen area</t>
        </is>
      </c>
      <c r="D5" s="8" t="n">
        <v>1</v>
      </c>
      <c r="E5" s="9" t="n">
        <v>150</v>
      </c>
      <c r="F5" s="9">
        <f>D5*E5</f>
        <v/>
      </c>
    </row>
    <row r="6" ht="20" customHeight="1">
      <c r="A6" s="4" t="inlineStr">
        <is>
          <t>Compliance &amp; Safety</t>
        </is>
      </c>
      <c r="B6" s="4" t="inlineStr">
        <is>
          <t>Fire Blanket</t>
        </is>
      </c>
      <c r="C6" s="4" t="inlineStr">
        <is>
          <t>Quick-release fiberglass blanket for kitchen</t>
        </is>
      </c>
      <c r="D6" s="5" t="n">
        <v>1</v>
      </c>
      <c r="E6" s="6" t="n">
        <v>45</v>
      </c>
      <c r="F6" s="6">
        <f>D6*E6</f>
        <v/>
      </c>
    </row>
    <row r="7" ht="20" customHeight="1">
      <c r="A7" s="7" t="inlineStr">
        <is>
          <t>Compliance &amp; Safety</t>
        </is>
      </c>
      <c r="B7" s="7" t="inlineStr">
        <is>
          <t>First Aid Kit</t>
        </is>
      </c>
      <c r="C7" s="7" t="inlineStr">
        <is>
          <t>Fully stocked as per Dubai Health Authority standards</t>
        </is>
      </c>
      <c r="D7" s="8" t="n">
        <v>1</v>
      </c>
      <c r="E7" s="9" t="n">
        <v>65</v>
      </c>
      <c r="F7" s="9">
        <f>D7*E7</f>
        <v/>
      </c>
    </row>
    <row r="8" ht="20" customHeight="1">
      <c r="A8" s="4" t="inlineStr">
        <is>
          <t>Compliance &amp; Safety</t>
        </is>
      </c>
      <c r="B8" s="4" t="inlineStr">
        <is>
          <t>DET QR Code &amp; Evacuation Plan Framed</t>
        </is>
      </c>
      <c r="C8" s="4" t="inlineStr">
        <is>
          <t>Mounted below DEWA plaque / inside door</t>
        </is>
      </c>
      <c r="D8" s="5" t="n">
        <v>1</v>
      </c>
      <c r="E8" s="6" t="n">
        <v>50</v>
      </c>
      <c r="F8" s="6">
        <f>D8*E8</f>
        <v/>
      </c>
    </row>
    <row r="9" ht="20" customHeight="1">
      <c r="A9" s="7" t="inlineStr">
        <is>
          <t>Compliance &amp; Safety</t>
        </is>
      </c>
      <c r="B9" s="7" t="inlineStr">
        <is>
          <t>Digital Safe Box</t>
        </is>
      </c>
      <c r="C9" s="7" t="inlineStr">
        <is>
          <t>Electronic lock, anchored inside wardrobe</t>
        </is>
      </c>
      <c r="D9" s="8" t="n">
        <v>1</v>
      </c>
      <c r="E9" s="9" t="n">
        <v>180</v>
      </c>
      <c r="F9" s="9">
        <f>D9*E9</f>
        <v/>
      </c>
    </row>
    <row r="10" ht="20" customHeight="1">
      <c r="A10" s="4" t="inlineStr">
        <is>
          <t>Compliance &amp; Safety</t>
        </is>
      </c>
      <c r="B10" s="4" t="inlineStr">
        <is>
          <t>Smoke Detectors (Standalone / Interlinked)</t>
        </is>
      </c>
      <c r="C10" s="4" t="inlineStr">
        <is>
          <t>Battery backup (if not building central)</t>
        </is>
      </c>
      <c r="D10" s="5" t="n">
        <v>2</v>
      </c>
      <c r="E10" s="6" t="n">
        <v>80</v>
      </c>
      <c r="F10" s="6">
        <f>D10*E10</f>
        <v/>
      </c>
    </row>
    <row r="11" ht="20" customHeight="1">
      <c r="A11" s="7" t="inlineStr">
        <is>
          <t>Living &amp; Dining</t>
        </is>
      </c>
      <c r="B11" s="7" t="inlineStr">
        <is>
          <t>Sofa / Sofa Bed</t>
        </is>
      </c>
      <c r="C11" s="7" t="inlineStr">
        <is>
          <t>3-seater durable upholstery (L-shape or standard)</t>
        </is>
      </c>
      <c r="D11" s="8" t="n">
        <v>1</v>
      </c>
      <c r="E11" s="9" t="n">
        <v>1800</v>
      </c>
      <c r="F11" s="9">
        <f>D11*E11</f>
        <v/>
      </c>
    </row>
    <row r="12" ht="20" customHeight="1">
      <c r="A12" s="4" t="inlineStr">
        <is>
          <t>Living &amp; Dining</t>
        </is>
      </c>
      <c r="B12" s="4" t="inlineStr">
        <is>
          <t>Coffee Table</t>
        </is>
      </c>
      <c r="C12" s="4" t="inlineStr">
        <is>
          <t>Tempered glass or solid laminate wood</t>
        </is>
      </c>
      <c r="D12" s="5" t="n">
        <v>1</v>
      </c>
      <c r="E12" s="6" t="n">
        <v>250</v>
      </c>
      <c r="F12" s="6">
        <f>D12*E12</f>
        <v/>
      </c>
    </row>
    <row r="13" ht="20" customHeight="1">
      <c r="A13" s="7" t="inlineStr">
        <is>
          <t>Living &amp; Dining</t>
        </is>
      </c>
      <c r="B13" s="7" t="inlineStr">
        <is>
          <t>Smart TV (4K UHD)</t>
        </is>
      </c>
      <c r="C13" s="7" t="inlineStr">
        <is>
          <t>50-inch to 65-inch with Netflix/YouTube access</t>
        </is>
      </c>
      <c r="D13" s="8" t="n">
        <v>1</v>
      </c>
      <c r="E13" s="9" t="n">
        <v>1200</v>
      </c>
      <c r="F13" s="9">
        <f>D13*E13</f>
        <v/>
      </c>
    </row>
    <row r="14" ht="20" customHeight="1">
      <c r="A14" s="4" t="inlineStr">
        <is>
          <t>Living &amp; Dining</t>
        </is>
      </c>
      <c r="B14" s="4" t="inlineStr">
        <is>
          <t>TV Console Table</t>
        </is>
      </c>
      <c r="C14" s="4" t="inlineStr">
        <is>
          <t>With cable management and storage slots</t>
        </is>
      </c>
      <c r="D14" s="5" t="n">
        <v>1</v>
      </c>
      <c r="E14" s="6" t="n">
        <v>350</v>
      </c>
      <c r="F14" s="6">
        <f>D14*E14</f>
        <v/>
      </c>
    </row>
    <row r="15" ht="20" customHeight="1">
      <c r="A15" s="7" t="inlineStr">
        <is>
          <t>Living &amp; Dining</t>
        </is>
      </c>
      <c r="B15" s="7" t="inlineStr">
        <is>
          <t>Dining Table</t>
        </is>
      </c>
      <c r="C15" s="7" t="inlineStr">
        <is>
          <t>Sized relative to maximum occupancy capacity</t>
        </is>
      </c>
      <c r="D15" s="8" t="n">
        <v>1</v>
      </c>
      <c r="E15" s="9" t="n">
        <v>600</v>
      </c>
      <c r="F15" s="9">
        <f>D15*E15</f>
        <v/>
      </c>
    </row>
    <row r="16" ht="20" customHeight="1">
      <c r="A16" s="4" t="inlineStr">
        <is>
          <t>Living &amp; Dining</t>
        </is>
      </c>
      <c r="B16" s="4" t="inlineStr">
        <is>
          <t>Dining Chairs</t>
        </is>
      </c>
      <c r="C16" s="4" t="inlineStr">
        <is>
          <t>Padded comfortable chairs with high backrest</t>
        </is>
      </c>
      <c r="D16" s="5" t="n">
        <v>2</v>
      </c>
      <c r="E16" s="6" t="n">
        <v>150</v>
      </c>
      <c r="F16" s="6">
        <f>D16*E16</f>
        <v/>
      </c>
    </row>
    <row r="17" ht="20" customHeight="1">
      <c r="A17" s="7" t="inlineStr">
        <is>
          <t>Living &amp; Dining</t>
        </is>
      </c>
      <c r="B17" s="7" t="inlineStr">
        <is>
          <t>High-Speed Wi-Fi Router / Mesh Node</t>
        </is>
      </c>
      <c r="C17" s="7" t="inlineStr">
        <is>
          <t>Dual-band high throughput router setup</t>
        </is>
      </c>
      <c r="D17" s="8" t="n">
        <v>1</v>
      </c>
      <c r="E17" s="9" t="n">
        <v>300</v>
      </c>
      <c r="F17" s="9">
        <f>D17*E17</f>
        <v/>
      </c>
    </row>
    <row r="18" ht="20" customHeight="1">
      <c r="A18" s="4" t="inlineStr">
        <is>
          <t>Living &amp; Dining</t>
        </is>
      </c>
      <c r="B18" s="4" t="inlineStr">
        <is>
          <t>Blackout Curtains / Blinds Set</t>
        </is>
      </c>
      <c r="C18" s="4" t="inlineStr">
        <is>
          <t>Full length window coverage for living room</t>
        </is>
      </c>
      <c r="D18" s="5" t="n">
        <v>1</v>
      </c>
      <c r="E18" s="6" t="n">
        <v>400</v>
      </c>
      <c r="F18" s="6">
        <f>D18*E18</f>
        <v/>
      </c>
    </row>
    <row r="19" ht="20" customHeight="1">
      <c r="A19" s="7" t="inlineStr">
        <is>
          <t>Living &amp; Dining</t>
        </is>
      </c>
      <c r="B19" s="7" t="inlineStr">
        <is>
          <t>Floor Lamp / Accent Lighting</t>
        </is>
      </c>
      <c r="C19" s="7" t="inlineStr">
        <is>
          <t>Warm LED lighting for ambient hotel atmosphere</t>
        </is>
      </c>
      <c r="D19" s="8" t="n">
        <v>1</v>
      </c>
      <c r="E19" s="9" t="n">
        <v>180</v>
      </c>
      <c r="F19" s="9">
        <f>D19*E19</f>
        <v/>
      </c>
    </row>
    <row r="20" ht="20" customHeight="1">
      <c r="A20" s="4" t="inlineStr">
        <is>
          <t>Bedroom Essentials</t>
        </is>
      </c>
      <c r="B20" s="4" t="inlineStr">
        <is>
          <t>King/Queen Bed Frame</t>
        </is>
      </c>
      <c r="C20" s="4" t="inlineStr">
        <is>
          <t>Solid build timber or upholstered headboard frame</t>
        </is>
      </c>
      <c r="D20" s="5" t="n">
        <v>1</v>
      </c>
      <c r="E20" s="6" t="n">
        <v>900</v>
      </c>
      <c r="F20" s="6">
        <f>D20*E20</f>
        <v/>
      </c>
    </row>
    <row r="21" ht="20" customHeight="1">
      <c r="A21" s="7" t="inlineStr">
        <is>
          <t>Bedroom Essentials</t>
        </is>
      </c>
      <c r="B21" s="7" t="inlineStr">
        <is>
          <t>Hotel Grade Orthopedic Mattress</t>
        </is>
      </c>
      <c r="C21" s="7" t="inlineStr">
        <is>
          <t>Pocket spring medium-firm, minimum 20cm thickness</t>
        </is>
      </c>
      <c r="D21" s="8" t="n">
        <v>1</v>
      </c>
      <c r="E21" s="9" t="n">
        <v>1000</v>
      </c>
      <c r="F21" s="9">
        <f>D21*E21</f>
        <v/>
      </c>
    </row>
    <row r="22" ht="20" customHeight="1">
      <c r="A22" s="4" t="inlineStr">
        <is>
          <t>Bedroom Essentials</t>
        </is>
      </c>
      <c r="B22" s="4" t="inlineStr">
        <is>
          <t>Bedside Tables</t>
        </is>
      </c>
      <c r="C22" s="4" t="inlineStr">
        <is>
          <t>Set of 2 units flanking the bed structure</t>
        </is>
      </c>
      <c r="D22" s="5" t="n">
        <v>1</v>
      </c>
      <c r="E22" s="6" t="n">
        <v>240</v>
      </c>
      <c r="F22" s="6">
        <f>D22*E22</f>
        <v/>
      </c>
    </row>
    <row r="23" ht="20" customHeight="1">
      <c r="A23" s="7" t="inlineStr">
        <is>
          <t>Bedroom Essentials</t>
        </is>
      </c>
      <c r="B23" s="7" t="inlineStr">
        <is>
          <t>Bedside Lamps with USB Ports</t>
        </is>
      </c>
      <c r="C23" s="7" t="inlineStr">
        <is>
          <t>Set of 2 lamps with integrated guest charging points</t>
        </is>
      </c>
      <c r="D23" s="8" t="n">
        <v>1</v>
      </c>
      <c r="E23" s="9" t="n">
        <v>160</v>
      </c>
      <c r="F23" s="9">
        <f>D23*E23</f>
        <v/>
      </c>
    </row>
    <row r="24" ht="20" customHeight="1">
      <c r="A24" s="4" t="inlineStr">
        <is>
          <t>Bedroom Essentials</t>
        </is>
      </c>
      <c r="B24" s="4" t="inlineStr">
        <is>
          <t>Hotel Pillows (Pack of 4)</t>
        </is>
      </c>
      <c r="C24" s="4" t="inlineStr">
        <is>
          <t>Hypoallergenic down-alternative, two firm, two soft</t>
        </is>
      </c>
      <c r="D24" s="5" t="n">
        <v>1</v>
      </c>
      <c r="E24" s="6" t="n">
        <v>120</v>
      </c>
      <c r="F24" s="6">
        <f>D24*E24</f>
        <v/>
      </c>
    </row>
    <row r="25" ht="20" customHeight="1">
      <c r="A25" s="7" t="inlineStr">
        <is>
          <t>Bedroom Essentials</t>
        </is>
      </c>
      <c r="B25" s="7" t="inlineStr">
        <is>
          <t>All-Season Duvet &amp; Protector</t>
        </is>
      </c>
      <c r="C25" s="7" t="inlineStr">
        <is>
          <t>Microfiber filling with waterproof quilted mattress cover</t>
        </is>
      </c>
      <c r="D25" s="8" t="n">
        <v>1</v>
      </c>
      <c r="E25" s="9" t="n">
        <v>180</v>
      </c>
      <c r="F25" s="9">
        <f>D25*E25</f>
        <v/>
      </c>
    </row>
    <row r="26" ht="20" customHeight="1">
      <c r="A26" s="4" t="inlineStr">
        <is>
          <t>Bedroom Essentials</t>
        </is>
      </c>
      <c r="B26" s="4" t="inlineStr">
        <is>
          <t>Premium White Linen Set (2 Full Changes)</t>
        </is>
      </c>
      <c r="C26" s="4" t="inlineStr">
        <is>
          <t>200+ Thread Count: 2x Fitted sheets, 2x Duvet covers, 8x Pillowcases</t>
        </is>
      </c>
      <c r="D26" s="5" t="n">
        <v>1</v>
      </c>
      <c r="E26" s="6" t="n">
        <v>350</v>
      </c>
      <c r="F26" s="6">
        <f>D26*E26</f>
        <v/>
      </c>
    </row>
    <row r="27" ht="20" customHeight="1">
      <c r="A27" s="7" t="inlineStr">
        <is>
          <t>Bedroom Essentials</t>
        </is>
      </c>
      <c r="B27" s="7" t="inlineStr">
        <is>
          <t>Wardrobe Hangers Pack</t>
        </is>
      </c>
      <c r="C27" s="7" t="inlineStr">
        <is>
          <t>Set of 20 high-quality wooden/rubberized anti-slip hangers</t>
        </is>
      </c>
      <c r="D27" s="8" t="n">
        <v>1</v>
      </c>
      <c r="E27" s="9" t="n">
        <v>40</v>
      </c>
      <c r="F27" s="9">
        <f>D27*E27</f>
        <v/>
      </c>
    </row>
    <row r="28" ht="20" customHeight="1">
      <c r="A28" s="4" t="inlineStr">
        <is>
          <t>Bedroom Essentials</t>
        </is>
      </c>
      <c r="B28" s="4" t="inlineStr">
        <is>
          <t>Full-Length Dresser Mirror</t>
        </is>
      </c>
      <c r="C28" s="4" t="inlineStr">
        <is>
          <t>Wall-mounted or freestanding structural panel mirror</t>
        </is>
      </c>
      <c r="D28" s="5" t="n">
        <v>1</v>
      </c>
      <c r="E28" s="6" t="n">
        <v>150</v>
      </c>
      <c r="F28" s="6">
        <f>D28*E28</f>
        <v/>
      </c>
    </row>
    <row r="29" ht="20" customHeight="1">
      <c r="A29" s="7" t="inlineStr">
        <is>
          <t>Bedroom Essentials</t>
        </is>
      </c>
      <c r="B29" s="7" t="inlineStr">
        <is>
          <t>Bedroom Blackout Curtains Set</t>
        </is>
      </c>
      <c r="C29" s="7" t="inlineStr">
        <is>
          <t>Strict thermal/light blockage for guest sleep comfort</t>
        </is>
      </c>
      <c r="D29" s="8" t="n">
        <v>1</v>
      </c>
      <c r="E29" s="9" t="n">
        <v>350</v>
      </c>
      <c r="F29" s="9">
        <f>D29*E29</f>
        <v/>
      </c>
    </row>
    <row r="30" ht="20" customHeight="1">
      <c r="A30" s="4" t="inlineStr">
        <is>
          <t>Kitchen &amp; Appliances</t>
        </is>
      </c>
      <c r="B30" s="4" t="inlineStr">
        <is>
          <t>Refrigerator &amp; Freezer Combo</t>
        </is>
      </c>
      <c r="C30" s="4" t="inlineStr">
        <is>
          <t>No-frost, minimum 300L energy efficient double door</t>
        </is>
      </c>
      <c r="D30" s="5" t="n">
        <v>1</v>
      </c>
      <c r="E30" s="6" t="n">
        <v>1400</v>
      </c>
      <c r="F30" s="6">
        <f>D30*E30</f>
        <v/>
      </c>
    </row>
    <row r="31" ht="20" customHeight="1">
      <c r="A31" s="7" t="inlineStr">
        <is>
          <t>Kitchen &amp; Appliances</t>
        </is>
      </c>
      <c r="B31" s="7" t="inlineStr">
        <is>
          <t>Gas/Electric Cooker &amp; Oven</t>
        </is>
      </c>
      <c r="C31" s="7" t="inlineStr">
        <is>
          <t>4-burner integrated unit with safety gas-cutoff mechanism</t>
        </is>
      </c>
      <c r="D31" s="8" t="n">
        <v>1</v>
      </c>
      <c r="E31" s="9" t="n">
        <v>1200</v>
      </c>
      <c r="F31" s="9">
        <f>D31*E31</f>
        <v/>
      </c>
    </row>
    <row r="32" ht="20" customHeight="1">
      <c r="A32" s="4" t="inlineStr">
        <is>
          <t>Kitchen &amp; Appliances</t>
        </is>
      </c>
      <c r="B32" s="4" t="inlineStr">
        <is>
          <t>Microwave Oven</t>
        </is>
      </c>
      <c r="C32" s="4" t="inlineStr">
        <is>
          <t>Digital control interface, 20L minimum volume capacity</t>
        </is>
      </c>
      <c r="D32" s="5" t="n">
        <v>1</v>
      </c>
      <c r="E32" s="6" t="n">
        <v>250</v>
      </c>
      <c r="F32" s="6">
        <f>D32*E32</f>
        <v/>
      </c>
    </row>
    <row r="33" ht="20" customHeight="1">
      <c r="A33" s="7" t="inlineStr">
        <is>
          <t>Kitchen &amp; Appliances</t>
        </is>
      </c>
      <c r="B33" s="7" t="inlineStr">
        <is>
          <t>Electric Water Kettle</t>
        </is>
      </c>
      <c r="C33" s="7" t="inlineStr">
        <is>
          <t>Stainless steel automatic auto-shutoff 1.7L boiler</t>
        </is>
      </c>
      <c r="D33" s="8" t="n">
        <v>1</v>
      </c>
      <c r="E33" s="9" t="n">
        <v>80</v>
      </c>
      <c r="F33" s="9">
        <f>D33*E33</f>
        <v/>
      </c>
    </row>
    <row r="34" ht="20" customHeight="1">
      <c r="A34" s="4" t="inlineStr">
        <is>
          <t>Kitchen &amp; Appliances</t>
        </is>
      </c>
      <c r="B34" s="4" t="inlineStr">
        <is>
          <t>2-Slot Bread Toaster</t>
        </is>
      </c>
      <c r="C34" s="4" t="inlineStr">
        <is>
          <t>Variable browning control settings interface</t>
        </is>
      </c>
      <c r="D34" s="5" t="n">
        <v>1</v>
      </c>
      <c r="E34" s="6" t="n">
        <v>90</v>
      </c>
      <c r="F34" s="6">
        <f>D34*E34</f>
        <v/>
      </c>
    </row>
    <row r="35" ht="20" customHeight="1">
      <c r="A35" s="7" t="inlineStr">
        <is>
          <t>Kitchen &amp; Appliances</t>
        </is>
      </c>
      <c r="B35" s="7" t="inlineStr">
        <is>
          <t>Nespresso Capsule Coffee Machine</t>
        </is>
      </c>
      <c r="C35" s="7" t="inlineStr">
        <is>
          <t>Espresso pod maker for premium welcome tier rating</t>
        </is>
      </c>
      <c r="D35" s="8" t="n">
        <v>1</v>
      </c>
      <c r="E35" s="9" t="n">
        <v>450</v>
      </c>
      <c r="F35" s="9">
        <f>D35*E35</f>
        <v/>
      </c>
    </row>
    <row r="36" ht="20" customHeight="1">
      <c r="A36" s="4" t="inlineStr">
        <is>
          <t>Kitchen &amp; Appliances</t>
        </is>
      </c>
      <c r="B36" s="4" t="inlineStr">
        <is>
          <t>Washing Machine &amp; Dryer Combo</t>
        </is>
      </c>
      <c r="C36" s="4" t="inlineStr">
        <is>
          <t>Front load 7kg/5kg wash-and-dry automated cycles</t>
        </is>
      </c>
      <c r="D36" s="5" t="n">
        <v>1</v>
      </c>
      <c r="E36" s="6" t="n">
        <v>1600</v>
      </c>
      <c r="F36" s="6">
        <f>D36*E36</f>
        <v/>
      </c>
    </row>
    <row r="37" ht="20" customHeight="1">
      <c r="A37" s="7" t="inlineStr">
        <is>
          <t>Kitchen &amp; Appliances</t>
        </is>
      </c>
      <c r="B37" s="7" t="inlineStr">
        <is>
          <t>Non-Stick Cookware Set</t>
        </is>
      </c>
      <c r="C37" s="7" t="inlineStr">
        <is>
          <t>2 Frying pans, 2 Casserole pots with glass lids, 1 wok</t>
        </is>
      </c>
      <c r="D37" s="8" t="n">
        <v>1</v>
      </c>
      <c r="E37" s="9" t="n">
        <v>280</v>
      </c>
      <c r="F37" s="9">
        <f>D37*E37</f>
        <v/>
      </c>
    </row>
    <row r="38" ht="20" customHeight="1">
      <c r="A38" s="4" t="inlineStr">
        <is>
          <t>Kitchen &amp; Appliances</t>
        </is>
      </c>
      <c r="B38" s="4" t="inlineStr">
        <is>
          <t>Chef Knife &amp; Cutting Board Set</t>
        </is>
      </c>
      <c r="C38" s="4" t="inlineStr">
        <is>
          <t>Stainless steel knife bundle + multi-color hygienic boards</t>
        </is>
      </c>
      <c r="D38" s="5" t="n">
        <v>1</v>
      </c>
      <c r="E38" s="6" t="n">
        <v>120</v>
      </c>
      <c r="F38" s="6">
        <f>D38*E38</f>
        <v/>
      </c>
    </row>
    <row r="39" ht="20" customHeight="1">
      <c r="A39" s="7" t="inlineStr">
        <is>
          <t>Kitchen &amp; Appliances</t>
        </is>
      </c>
      <c r="B39" s="7" t="inlineStr">
        <is>
          <t>Dinnerware Sets (Plates &amp; Bowls)</t>
        </is>
      </c>
      <c r="C39" s="7" t="inlineStr">
        <is>
          <t>Corelle or ceramic chip-resistant sets (scaled to max capacity)</t>
        </is>
      </c>
      <c r="D39" s="8" t="n">
        <v>1</v>
      </c>
      <c r="E39" s="9" t="n">
        <v>120</v>
      </c>
      <c r="F39" s="9">
        <f>D39*E39</f>
        <v/>
      </c>
    </row>
    <row r="40" ht="20" customHeight="1">
      <c r="A40" s="4" t="inlineStr">
        <is>
          <t>Kitchen &amp; Appliances</t>
        </is>
      </c>
      <c r="B40" s="4" t="inlineStr">
        <is>
          <t>Glassware Set (Water &amp; Wine)</t>
        </is>
      </c>
      <c r="C40" s="4" t="inlineStr">
        <is>
          <t>High transparency tempered lead-free glassware items</t>
        </is>
      </c>
      <c r="D40" s="5" t="n">
        <v>1</v>
      </c>
      <c r="E40" s="6" t="n">
        <v>80</v>
      </c>
      <c r="F40" s="6">
        <f>D40*E40</f>
        <v/>
      </c>
    </row>
    <row r="41" ht="20" customHeight="1">
      <c r="A41" s="7" t="inlineStr">
        <is>
          <t>Kitchen &amp; Appliances</t>
        </is>
      </c>
      <c r="B41" s="7" t="inlineStr">
        <is>
          <t>Stainless Steel Cutlery Set</t>
        </is>
      </c>
      <c r="C41" s="7" t="inlineStr">
        <is>
          <t>Forks, knives, tablespoons, teaspoons boxed package</t>
        </is>
      </c>
      <c r="D41" s="8" t="n">
        <v>1</v>
      </c>
      <c r="E41" s="9" t="n">
        <v>90</v>
      </c>
      <c r="F41" s="9">
        <f>D41*E41</f>
        <v/>
      </c>
    </row>
    <row r="42" ht="20" customHeight="1">
      <c r="A42" s="4" t="inlineStr">
        <is>
          <t>Kitchen &amp; Appliances</t>
        </is>
      </c>
      <c r="B42" s="4" t="inlineStr">
        <is>
          <t>Kitchen Trash Can &amp; Tool Set</t>
        </is>
      </c>
      <c r="C42" s="4" t="inlineStr">
        <is>
          <t>Step-on airtight pedal bin, can opener, ladles, corkscrew</t>
        </is>
      </c>
      <c r="D42" s="5" t="n">
        <v>1</v>
      </c>
      <c r="E42" s="6" t="n">
        <v>140</v>
      </c>
      <c r="F42" s="6">
        <f>D42*E42</f>
        <v/>
      </c>
    </row>
    <row r="43" ht="20" customHeight="1">
      <c r="A43" s="7" t="inlineStr">
        <is>
          <t>Bathroom Amenities</t>
        </is>
      </c>
      <c r="B43" s="7" t="inlineStr">
        <is>
          <t>Premium Towels Set (2 Changes)</t>
        </is>
      </c>
      <c r="C43" s="7" t="inlineStr">
        <is>
          <t>100% Cotton 600GSM: Bath, Hand, Face towels per occupant</t>
        </is>
      </c>
      <c r="D43" s="8" t="n">
        <v>2</v>
      </c>
      <c r="E43" s="9" t="n">
        <v>90</v>
      </c>
      <c r="F43" s="9">
        <f>D43*E43</f>
        <v/>
      </c>
    </row>
    <row r="44" ht="20" customHeight="1">
      <c r="A44" s="4" t="inlineStr">
        <is>
          <t>Bathroom Amenities</t>
        </is>
      </c>
      <c r="B44" s="4" t="inlineStr">
        <is>
          <t>Ionic Hairdryer</t>
        </is>
      </c>
      <c r="C44" s="4" t="inlineStr">
        <is>
          <t>Wall-mount or storage bracket type 1800W+ capacity</t>
        </is>
      </c>
      <c r="D44" s="5" t="n">
        <v>1</v>
      </c>
      <c r="E44" s="6" t="n">
        <v>110</v>
      </c>
      <c r="F44" s="6">
        <f>D44*E44</f>
        <v/>
      </c>
    </row>
    <row r="45" ht="20" customHeight="1">
      <c r="A45" s="7" t="inlineStr">
        <is>
          <t>Bathroom Amenities</t>
        </is>
      </c>
      <c r="B45" s="7" t="inlineStr">
        <is>
          <t>Pedal Waste Bin &amp; Toilet Brush Set</t>
        </is>
      </c>
      <c r="C45" s="7" t="inlineStr">
        <is>
          <t>Stainless steel rust-free bathroom functional accessory</t>
        </is>
      </c>
      <c r="D45" s="8" t="n">
        <v>1</v>
      </c>
      <c r="E45" s="9" t="n">
        <v>70</v>
      </c>
      <c r="F45" s="9">
        <f>D45*E45</f>
        <v/>
      </c>
    </row>
    <row r="46" ht="20" customHeight="1">
      <c r="A46" s="4" t="inlineStr">
        <is>
          <t>Bathroom Amenities</t>
        </is>
      </c>
      <c r="B46" s="4" t="inlineStr">
        <is>
          <t>Non-Slip Shower Mat &amp; Floor Towel</t>
        </is>
      </c>
      <c r="C46" s="4" t="inlineStr">
        <is>
          <t>Rubberized anti-skid backing for liability compliance</t>
        </is>
      </c>
      <c r="D46" s="5" t="n">
        <v>1</v>
      </c>
      <c r="E46" s="6" t="n">
        <v>50</v>
      </c>
      <c r="F46" s="6">
        <f>D46*E46</f>
        <v/>
      </c>
    </row>
    <row r="47" ht="20" customHeight="1">
      <c r="A47" s="7" t="inlineStr">
        <is>
          <t>Utilities &amp; Upkeep</t>
        </is>
      </c>
      <c r="B47" s="7" t="inlineStr">
        <is>
          <t>Vacuum Cleaner (Bagless)</t>
        </is>
      </c>
      <c r="C47" s="7" t="inlineStr">
        <is>
          <t>High suction multi-surface cyclical motor assembly</t>
        </is>
      </c>
      <c r="D47" s="8" t="n">
        <v>1</v>
      </c>
      <c r="E47" s="9" t="n">
        <v>350</v>
      </c>
      <c r="F47" s="9">
        <f>D47*E47</f>
        <v/>
      </c>
    </row>
    <row r="48" ht="20" customHeight="1">
      <c r="A48" s="4" t="inlineStr">
        <is>
          <t>Utilities &amp; Upkeep</t>
        </is>
      </c>
      <c r="B48" s="4" t="inlineStr">
        <is>
          <t>Ironing Board &amp; Steam Iron Set</t>
        </is>
      </c>
      <c r="C48" s="4" t="inlineStr">
        <is>
          <t>Foldable padded heavy duty board + vertical steam generator</t>
        </is>
      </c>
      <c r="D48" s="5" t="n">
        <v>1</v>
      </c>
      <c r="E48" s="6" t="n">
        <v>220</v>
      </c>
      <c r="F48" s="6">
        <f>D48*E48</f>
        <v/>
      </c>
    </row>
    <row r="49" ht="20" customHeight="1">
      <c r="A49" s="7" t="inlineStr">
        <is>
          <t>Utilities &amp; Upkeep</t>
        </is>
      </c>
      <c r="B49" s="7" t="inlineStr">
        <is>
          <t>Cloth Drying Rack</t>
        </is>
      </c>
      <c r="C49" s="7" t="inlineStr">
        <is>
          <t>Collapsible wing rack for balcony layout setting</t>
        </is>
      </c>
      <c r="D49" s="8" t="n">
        <v>1</v>
      </c>
      <c r="E49" s="9" t="n">
        <v>95</v>
      </c>
      <c r="F49" s="9">
        <f>D49*E49</f>
        <v/>
      </c>
    </row>
    <row r="50" ht="20" customHeight="1">
      <c r="A50" s="4" t="inlineStr">
        <is>
          <t>Utilities &amp; Upkeep</t>
        </is>
      </c>
      <c r="B50" s="4" t="inlineStr">
        <is>
          <t>Mop, Broom &amp; Cleaning Supply Bundle</t>
        </is>
      </c>
      <c r="C50" s="4" t="inlineStr">
        <is>
          <t>Microfiber floor mop, soft bristles, starter cleaning fluids</t>
        </is>
      </c>
      <c r="D50" s="5" t="n">
        <v>1</v>
      </c>
      <c r="E50" s="6" t="n">
        <v>110</v>
      </c>
      <c r="F50" s="6">
        <f>D50*E50</f>
        <v/>
      </c>
    </row>
    <row r="51" ht="20" customHeight="1">
      <c r="A51" s="7" t="inlineStr">
        <is>
          <t>Utilities &amp; Upkeep</t>
        </is>
      </c>
      <c r="B51" s="7" t="inlineStr">
        <is>
          <t>Islamic Prayer Mat</t>
        </is>
      </c>
      <c r="C51" s="7" t="inlineStr">
        <is>
          <t>Standard clean textile layout (Required by DET checklist regulations)</t>
        </is>
      </c>
      <c r="D51" s="8" t="n">
        <v>1</v>
      </c>
      <c r="E51" s="9" t="n">
        <v>35</v>
      </c>
      <c r="F51" s="9">
        <f>D51*E51</f>
        <v/>
      </c>
    </row>
    <row r="52" ht="24" customHeight="1">
      <c r="A52" s="10" t="inlineStr">
        <is>
          <t>Total Estimated Setup Cost</t>
        </is>
      </c>
      <c r="B52" s="11" t="n"/>
      <c r="C52" s="11" t="n"/>
      <c r="D52" s="11" t="n"/>
      <c r="E52" s="11" t="n"/>
      <c r="F52" s="12">
        <f>SUM(F4:F51)</f>
        <v/>
      </c>
    </row>
  </sheetData>
  <mergeCells count="2">
    <mergeCell ref="A52:E5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72" customWidth="1" min="3" max="3"/>
    <col width="12" customWidth="1" min="4" max="4"/>
    <col width="26" customWidth="1" min="5" max="5"/>
    <col width="19" customWidth="1" min="6" max="6"/>
  </cols>
  <sheetData>
    <row r="1" ht="40" customHeight="1">
      <c r="A1" s="1" t="inlineStr">
        <is>
          <t>DET Dubai Holiday Home Compliance Inventory Checklist — 1BR Unit</t>
        </is>
      </c>
    </row>
    <row r="2"/>
    <row r="3" ht="28" customHeight="1">
      <c r="A3" s="2" t="inlineStr">
        <is>
          <t>Category</t>
        </is>
      </c>
      <c r="B3" s="2" t="inlineStr">
        <is>
          <t>Item Name</t>
        </is>
      </c>
      <c r="C3" s="2" t="inlineStr">
        <is>
          <t>DET Required Specification</t>
        </is>
      </c>
      <c r="D3" s="3" t="inlineStr">
        <is>
          <t>Quantity</t>
        </is>
      </c>
      <c r="E3" s="3" t="inlineStr">
        <is>
          <t>Approx Unit Price (AED)</t>
        </is>
      </c>
      <c r="F3" s="3" t="inlineStr">
        <is>
          <t>Total Cost (AED)</t>
        </is>
      </c>
    </row>
    <row r="4" ht="20" customHeight="1">
      <c r="A4" s="4" t="inlineStr">
        <is>
          <t>Compliance &amp; Safety</t>
        </is>
      </c>
      <c r="B4" s="4" t="inlineStr">
        <is>
          <t>SIRA-Approved Smart Lock</t>
        </is>
      </c>
      <c r="C4" s="4" t="inlineStr">
        <is>
          <t>Connected to Keyless/DET portal system</t>
        </is>
      </c>
      <c r="D4" s="5" t="n">
        <v>1</v>
      </c>
      <c r="E4" s="6" t="n">
        <v>800</v>
      </c>
      <c r="F4" s="6">
        <f>D4*E4</f>
        <v/>
      </c>
    </row>
    <row r="5" ht="20" customHeight="1">
      <c r="A5" s="7" t="inlineStr">
        <is>
          <t>Compliance &amp; Safety</t>
        </is>
      </c>
      <c r="B5" s="7" t="inlineStr">
        <is>
          <t>Fire Extinguisher (4.5kg Powder)</t>
        </is>
      </c>
      <c r="C5" s="7" t="inlineStr">
        <is>
          <t>Certified, tag valid for 1 year, kitchen area</t>
        </is>
      </c>
      <c r="D5" s="8" t="n">
        <v>1</v>
      </c>
      <c r="E5" s="9" t="n">
        <v>150</v>
      </c>
      <c r="F5" s="9">
        <f>D5*E5</f>
        <v/>
      </c>
    </row>
    <row r="6" ht="20" customHeight="1">
      <c r="A6" s="4" t="inlineStr">
        <is>
          <t>Compliance &amp; Safety</t>
        </is>
      </c>
      <c r="B6" s="4" t="inlineStr">
        <is>
          <t>Fire Blanket</t>
        </is>
      </c>
      <c r="C6" s="4" t="inlineStr">
        <is>
          <t>Quick-release fiberglass blanket for kitchen</t>
        </is>
      </c>
      <c r="D6" s="5" t="n">
        <v>1</v>
      </c>
      <c r="E6" s="6" t="n">
        <v>45</v>
      </c>
      <c r="F6" s="6">
        <f>D6*E6</f>
        <v/>
      </c>
    </row>
    <row r="7" ht="20" customHeight="1">
      <c r="A7" s="7" t="inlineStr">
        <is>
          <t>Compliance &amp; Safety</t>
        </is>
      </c>
      <c r="B7" s="7" t="inlineStr">
        <is>
          <t>First Aid Kit</t>
        </is>
      </c>
      <c r="C7" s="7" t="inlineStr">
        <is>
          <t>Fully stocked as per Dubai Health Authority standards</t>
        </is>
      </c>
      <c r="D7" s="8" t="n">
        <v>1</v>
      </c>
      <c r="E7" s="9" t="n">
        <v>65</v>
      </c>
      <c r="F7" s="9">
        <f>D7*E7</f>
        <v/>
      </c>
    </row>
    <row r="8" ht="20" customHeight="1">
      <c r="A8" s="4" t="inlineStr">
        <is>
          <t>Compliance &amp; Safety</t>
        </is>
      </c>
      <c r="B8" s="4" t="inlineStr">
        <is>
          <t>DET QR Code &amp; Evacuation Plan Framed</t>
        </is>
      </c>
      <c r="C8" s="4" t="inlineStr">
        <is>
          <t>Mounted below DEWA plaque / inside door</t>
        </is>
      </c>
      <c r="D8" s="5" t="n">
        <v>1</v>
      </c>
      <c r="E8" s="6" t="n">
        <v>50</v>
      </c>
      <c r="F8" s="6">
        <f>D8*E8</f>
        <v/>
      </c>
    </row>
    <row r="9" ht="20" customHeight="1">
      <c r="A9" s="7" t="inlineStr">
        <is>
          <t>Compliance &amp; Safety</t>
        </is>
      </c>
      <c r="B9" s="7" t="inlineStr">
        <is>
          <t>Digital Safe Box</t>
        </is>
      </c>
      <c r="C9" s="7" t="inlineStr">
        <is>
          <t>Electronic lock, anchored inside wardrobe</t>
        </is>
      </c>
      <c r="D9" s="8" t="n">
        <v>1</v>
      </c>
      <c r="E9" s="9" t="n">
        <v>180</v>
      </c>
      <c r="F9" s="9">
        <f>D9*E9</f>
        <v/>
      </c>
    </row>
    <row r="10" ht="20" customHeight="1">
      <c r="A10" s="4" t="inlineStr">
        <is>
          <t>Compliance &amp; Safety</t>
        </is>
      </c>
      <c r="B10" s="4" t="inlineStr">
        <is>
          <t>Smoke Detectors (Standalone / Interlinked)</t>
        </is>
      </c>
      <c r="C10" s="4" t="inlineStr">
        <is>
          <t>Battery backup (if not building central)</t>
        </is>
      </c>
      <c r="D10" s="5" t="n">
        <v>2</v>
      </c>
      <c r="E10" s="6" t="n">
        <v>80</v>
      </c>
      <c r="F10" s="6">
        <f>D10*E10</f>
        <v/>
      </c>
    </row>
    <row r="11" ht="20" customHeight="1">
      <c r="A11" s="7" t="inlineStr">
        <is>
          <t>Living &amp; Dining</t>
        </is>
      </c>
      <c r="B11" s="7" t="inlineStr">
        <is>
          <t>Sofa / Sofa Bed</t>
        </is>
      </c>
      <c r="C11" s="7" t="inlineStr">
        <is>
          <t>3-seater durable upholstery (L-shape or standard)</t>
        </is>
      </c>
      <c r="D11" s="8" t="n">
        <v>1</v>
      </c>
      <c r="E11" s="9" t="n">
        <v>1800</v>
      </c>
      <c r="F11" s="9">
        <f>D11*E11</f>
        <v/>
      </c>
    </row>
    <row r="12" ht="20" customHeight="1">
      <c r="A12" s="4" t="inlineStr">
        <is>
          <t>Living &amp; Dining</t>
        </is>
      </c>
      <c r="B12" s="4" t="inlineStr">
        <is>
          <t>Coffee Table</t>
        </is>
      </c>
      <c r="C12" s="4" t="inlineStr">
        <is>
          <t>Tempered glass or solid laminate wood</t>
        </is>
      </c>
      <c r="D12" s="5" t="n">
        <v>1</v>
      </c>
      <c r="E12" s="6" t="n">
        <v>250</v>
      </c>
      <c r="F12" s="6">
        <f>D12*E12</f>
        <v/>
      </c>
    </row>
    <row r="13" ht="20" customHeight="1">
      <c r="A13" s="7" t="inlineStr">
        <is>
          <t>Living &amp; Dining</t>
        </is>
      </c>
      <c r="B13" s="7" t="inlineStr">
        <is>
          <t>Smart TV (4K UHD)</t>
        </is>
      </c>
      <c r="C13" s="7" t="inlineStr">
        <is>
          <t>50-inch to 65-inch with Netflix/YouTube access</t>
        </is>
      </c>
      <c r="D13" s="8" t="n">
        <v>1</v>
      </c>
      <c r="E13" s="9" t="n">
        <v>1200</v>
      </c>
      <c r="F13" s="9">
        <f>D13*E13</f>
        <v/>
      </c>
    </row>
    <row r="14" ht="20" customHeight="1">
      <c r="A14" s="4" t="inlineStr">
        <is>
          <t>Living &amp; Dining</t>
        </is>
      </c>
      <c r="B14" s="4" t="inlineStr">
        <is>
          <t>TV Console Table</t>
        </is>
      </c>
      <c r="C14" s="4" t="inlineStr">
        <is>
          <t>With cable management and storage slots</t>
        </is>
      </c>
      <c r="D14" s="5" t="n">
        <v>1</v>
      </c>
      <c r="E14" s="6" t="n">
        <v>350</v>
      </c>
      <c r="F14" s="6">
        <f>D14*E14</f>
        <v/>
      </c>
    </row>
    <row r="15" ht="20" customHeight="1">
      <c r="A15" s="7" t="inlineStr">
        <is>
          <t>Living &amp; Dining</t>
        </is>
      </c>
      <c r="B15" s="7" t="inlineStr">
        <is>
          <t>Dining Table</t>
        </is>
      </c>
      <c r="C15" s="7" t="inlineStr">
        <is>
          <t>Sized relative to maximum occupancy capacity</t>
        </is>
      </c>
      <c r="D15" s="8" t="n">
        <v>1</v>
      </c>
      <c r="E15" s="9" t="n">
        <v>600</v>
      </c>
      <c r="F15" s="9">
        <f>D15*E15</f>
        <v/>
      </c>
    </row>
    <row r="16" ht="20" customHeight="1">
      <c r="A16" s="4" t="inlineStr">
        <is>
          <t>Living &amp; Dining</t>
        </is>
      </c>
      <c r="B16" s="4" t="inlineStr">
        <is>
          <t>Dining Chairs</t>
        </is>
      </c>
      <c r="C16" s="4" t="inlineStr">
        <is>
          <t>Padded comfortable chairs with high backrest</t>
        </is>
      </c>
      <c r="D16" s="5" t="n">
        <v>2</v>
      </c>
      <c r="E16" s="6" t="n">
        <v>150</v>
      </c>
      <c r="F16" s="6">
        <f>D16*E16</f>
        <v/>
      </c>
    </row>
    <row r="17" ht="20" customHeight="1">
      <c r="A17" s="7" t="inlineStr">
        <is>
          <t>Living &amp; Dining</t>
        </is>
      </c>
      <c r="B17" s="7" t="inlineStr">
        <is>
          <t>High-Speed Wi-Fi Router / Mesh Node</t>
        </is>
      </c>
      <c r="C17" s="7" t="inlineStr">
        <is>
          <t>Dual-band high throughput router setup</t>
        </is>
      </c>
      <c r="D17" s="8" t="n">
        <v>1</v>
      </c>
      <c r="E17" s="9" t="n">
        <v>300</v>
      </c>
      <c r="F17" s="9">
        <f>D17*E17</f>
        <v/>
      </c>
    </row>
    <row r="18" ht="20" customHeight="1">
      <c r="A18" s="4" t="inlineStr">
        <is>
          <t>Living &amp; Dining</t>
        </is>
      </c>
      <c r="B18" s="4" t="inlineStr">
        <is>
          <t>Blackout Curtains / Blinds Set</t>
        </is>
      </c>
      <c r="C18" s="4" t="inlineStr">
        <is>
          <t>Full length window coverage for living room</t>
        </is>
      </c>
      <c r="D18" s="5" t="n">
        <v>1</v>
      </c>
      <c r="E18" s="6" t="n">
        <v>400</v>
      </c>
      <c r="F18" s="6">
        <f>D18*E18</f>
        <v/>
      </c>
    </row>
    <row r="19" ht="20" customHeight="1">
      <c r="A19" s="7" t="inlineStr">
        <is>
          <t>Living &amp; Dining</t>
        </is>
      </c>
      <c r="B19" s="7" t="inlineStr">
        <is>
          <t>Floor Lamp / Accent Lighting</t>
        </is>
      </c>
      <c r="C19" s="7" t="inlineStr">
        <is>
          <t>Warm LED lighting for ambient hotel atmosphere</t>
        </is>
      </c>
      <c r="D19" s="8" t="n">
        <v>1</v>
      </c>
      <c r="E19" s="9" t="n">
        <v>180</v>
      </c>
      <c r="F19" s="9">
        <f>D19*E19</f>
        <v/>
      </c>
    </row>
    <row r="20" ht="20" customHeight="1">
      <c r="A20" s="4" t="inlineStr">
        <is>
          <t>Bedroom Essentials</t>
        </is>
      </c>
      <c r="B20" s="4" t="inlineStr">
        <is>
          <t>King/Queen Bed Frame</t>
        </is>
      </c>
      <c r="C20" s="4" t="inlineStr">
        <is>
          <t>Solid build timber or upholstered headboard frame</t>
        </is>
      </c>
      <c r="D20" s="5" t="n">
        <v>1</v>
      </c>
      <c r="E20" s="6" t="n">
        <v>900</v>
      </c>
      <c r="F20" s="6">
        <f>D20*E20</f>
        <v/>
      </c>
    </row>
    <row r="21" ht="20" customHeight="1">
      <c r="A21" s="7" t="inlineStr">
        <is>
          <t>Bedroom Essentials</t>
        </is>
      </c>
      <c r="B21" s="7" t="inlineStr">
        <is>
          <t>Hotel Grade Orthopedic Mattress</t>
        </is>
      </c>
      <c r="C21" s="7" t="inlineStr">
        <is>
          <t>Pocket spring medium-firm, minimum 20cm thickness</t>
        </is>
      </c>
      <c r="D21" s="8" t="n">
        <v>1</v>
      </c>
      <c r="E21" s="9" t="n">
        <v>1000</v>
      </c>
      <c r="F21" s="9">
        <f>D21*E21</f>
        <v/>
      </c>
    </row>
    <row r="22" ht="20" customHeight="1">
      <c r="A22" s="4" t="inlineStr">
        <is>
          <t>Bedroom Essentials</t>
        </is>
      </c>
      <c r="B22" s="4" t="inlineStr">
        <is>
          <t>Bedside Tables</t>
        </is>
      </c>
      <c r="C22" s="4" t="inlineStr">
        <is>
          <t>Set of 2 units flanking the bed structure</t>
        </is>
      </c>
      <c r="D22" s="5" t="n">
        <v>1</v>
      </c>
      <c r="E22" s="6" t="n">
        <v>240</v>
      </c>
      <c r="F22" s="6">
        <f>D22*E22</f>
        <v/>
      </c>
    </row>
    <row r="23" ht="20" customHeight="1">
      <c r="A23" s="7" t="inlineStr">
        <is>
          <t>Bedroom Essentials</t>
        </is>
      </c>
      <c r="B23" s="7" t="inlineStr">
        <is>
          <t>Bedside Lamps with USB Ports</t>
        </is>
      </c>
      <c r="C23" s="7" t="inlineStr">
        <is>
          <t>Set of 2 lamps with integrated guest charging points</t>
        </is>
      </c>
      <c r="D23" s="8" t="n">
        <v>1</v>
      </c>
      <c r="E23" s="9" t="n">
        <v>160</v>
      </c>
      <c r="F23" s="9">
        <f>D23*E23</f>
        <v/>
      </c>
    </row>
    <row r="24" ht="20" customHeight="1">
      <c r="A24" s="4" t="inlineStr">
        <is>
          <t>Bedroom Essentials</t>
        </is>
      </c>
      <c r="B24" s="4" t="inlineStr">
        <is>
          <t>Hotel Pillows (Pack of 4)</t>
        </is>
      </c>
      <c r="C24" s="4" t="inlineStr">
        <is>
          <t>Hypoallergenic down-alternative, two firm, two soft</t>
        </is>
      </c>
      <c r="D24" s="5" t="n">
        <v>1</v>
      </c>
      <c r="E24" s="6" t="n">
        <v>120</v>
      </c>
      <c r="F24" s="6">
        <f>D24*E24</f>
        <v/>
      </c>
    </row>
    <row r="25" ht="20" customHeight="1">
      <c r="A25" s="7" t="inlineStr">
        <is>
          <t>Bedroom Essentials</t>
        </is>
      </c>
      <c r="B25" s="7" t="inlineStr">
        <is>
          <t>All-Season Duvet &amp; Protector</t>
        </is>
      </c>
      <c r="C25" s="7" t="inlineStr">
        <is>
          <t>Microfiber filling with waterproof quilted mattress cover</t>
        </is>
      </c>
      <c r="D25" s="8" t="n">
        <v>1</v>
      </c>
      <c r="E25" s="9" t="n">
        <v>180</v>
      </c>
      <c r="F25" s="9">
        <f>D25*E25</f>
        <v/>
      </c>
    </row>
    <row r="26" ht="20" customHeight="1">
      <c r="A26" s="4" t="inlineStr">
        <is>
          <t>Bedroom Essentials</t>
        </is>
      </c>
      <c r="B26" s="4" t="inlineStr">
        <is>
          <t>Premium White Linen Set (2 Full Changes)</t>
        </is>
      </c>
      <c r="C26" s="4" t="inlineStr">
        <is>
          <t>200+ Thread Count: 2x Fitted sheets, 2x Duvet covers, 8x Pillowcases</t>
        </is>
      </c>
      <c r="D26" s="5" t="n">
        <v>1</v>
      </c>
      <c r="E26" s="6" t="n">
        <v>350</v>
      </c>
      <c r="F26" s="6">
        <f>D26*E26</f>
        <v/>
      </c>
    </row>
    <row r="27" ht="20" customHeight="1">
      <c r="A27" s="7" t="inlineStr">
        <is>
          <t>Bedroom Essentials</t>
        </is>
      </c>
      <c r="B27" s="7" t="inlineStr">
        <is>
          <t>Wardrobe Hangers Pack</t>
        </is>
      </c>
      <c r="C27" s="7" t="inlineStr">
        <is>
          <t>Set of 20 high-quality wooden/rubberized anti-slip hangers</t>
        </is>
      </c>
      <c r="D27" s="8" t="n">
        <v>1</v>
      </c>
      <c r="E27" s="9" t="n">
        <v>40</v>
      </c>
      <c r="F27" s="9">
        <f>D27*E27</f>
        <v/>
      </c>
    </row>
    <row r="28" ht="20" customHeight="1">
      <c r="A28" s="4" t="inlineStr">
        <is>
          <t>Bedroom Essentials</t>
        </is>
      </c>
      <c r="B28" s="4" t="inlineStr">
        <is>
          <t>Full-Length Dresser Mirror</t>
        </is>
      </c>
      <c r="C28" s="4" t="inlineStr">
        <is>
          <t>Wall-mounted or freestanding structural panel mirror</t>
        </is>
      </c>
      <c r="D28" s="5" t="n">
        <v>1</v>
      </c>
      <c r="E28" s="6" t="n">
        <v>150</v>
      </c>
      <c r="F28" s="6">
        <f>D28*E28</f>
        <v/>
      </c>
    </row>
    <row r="29" ht="20" customHeight="1">
      <c r="A29" s="7" t="inlineStr">
        <is>
          <t>Bedroom Essentials</t>
        </is>
      </c>
      <c r="B29" s="7" t="inlineStr">
        <is>
          <t>Bedroom Blackout Curtains Set</t>
        </is>
      </c>
      <c r="C29" s="7" t="inlineStr">
        <is>
          <t>Strict thermal/light blockage for guest sleep comfort</t>
        </is>
      </c>
      <c r="D29" s="8" t="n">
        <v>1</v>
      </c>
      <c r="E29" s="9" t="n">
        <v>350</v>
      </c>
      <c r="F29" s="9">
        <f>D29*E29</f>
        <v/>
      </c>
    </row>
    <row r="30" ht="20" customHeight="1">
      <c r="A30" s="4" t="inlineStr">
        <is>
          <t>Kitchen &amp; Appliances</t>
        </is>
      </c>
      <c r="B30" s="4" t="inlineStr">
        <is>
          <t>Refrigerator &amp; Freezer Combo</t>
        </is>
      </c>
      <c r="C30" s="4" t="inlineStr">
        <is>
          <t>No-frost, minimum 300L energy efficient double door</t>
        </is>
      </c>
      <c r="D30" s="5" t="n">
        <v>1</v>
      </c>
      <c r="E30" s="6" t="n">
        <v>1400</v>
      </c>
      <c r="F30" s="6">
        <f>D30*E30</f>
        <v/>
      </c>
    </row>
    <row r="31" ht="20" customHeight="1">
      <c r="A31" s="7" t="inlineStr">
        <is>
          <t>Kitchen &amp; Appliances</t>
        </is>
      </c>
      <c r="B31" s="7" t="inlineStr">
        <is>
          <t>Gas/Electric Cooker &amp; Oven</t>
        </is>
      </c>
      <c r="C31" s="7" t="inlineStr">
        <is>
          <t>4-burner integrated unit with safety gas-cutoff mechanism</t>
        </is>
      </c>
      <c r="D31" s="8" t="n">
        <v>1</v>
      </c>
      <c r="E31" s="9" t="n">
        <v>1200</v>
      </c>
      <c r="F31" s="9">
        <f>D31*E31</f>
        <v/>
      </c>
    </row>
    <row r="32" ht="20" customHeight="1">
      <c r="A32" s="4" t="inlineStr">
        <is>
          <t>Kitchen &amp; Appliances</t>
        </is>
      </c>
      <c r="B32" s="4" t="inlineStr">
        <is>
          <t>Microwave Oven</t>
        </is>
      </c>
      <c r="C32" s="4" t="inlineStr">
        <is>
          <t>Digital control interface, 20L minimum volume capacity</t>
        </is>
      </c>
      <c r="D32" s="5" t="n">
        <v>1</v>
      </c>
      <c r="E32" s="6" t="n">
        <v>250</v>
      </c>
      <c r="F32" s="6">
        <f>D32*E32</f>
        <v/>
      </c>
    </row>
    <row r="33" ht="20" customHeight="1">
      <c r="A33" s="7" t="inlineStr">
        <is>
          <t>Kitchen &amp; Appliances</t>
        </is>
      </c>
      <c r="B33" s="7" t="inlineStr">
        <is>
          <t>Electric Water Kettle</t>
        </is>
      </c>
      <c r="C33" s="7" t="inlineStr">
        <is>
          <t>Stainless steel automatic auto-shutoff 1.7L boiler</t>
        </is>
      </c>
      <c r="D33" s="8" t="n">
        <v>1</v>
      </c>
      <c r="E33" s="9" t="n">
        <v>80</v>
      </c>
      <c r="F33" s="9">
        <f>D33*E33</f>
        <v/>
      </c>
    </row>
    <row r="34" ht="20" customHeight="1">
      <c r="A34" s="4" t="inlineStr">
        <is>
          <t>Kitchen &amp; Appliances</t>
        </is>
      </c>
      <c r="B34" s="4" t="inlineStr">
        <is>
          <t>2-Slot Bread Toaster</t>
        </is>
      </c>
      <c r="C34" s="4" t="inlineStr">
        <is>
          <t>Variable browning control settings interface</t>
        </is>
      </c>
      <c r="D34" s="5" t="n">
        <v>1</v>
      </c>
      <c r="E34" s="6" t="n">
        <v>90</v>
      </c>
      <c r="F34" s="6">
        <f>D34*E34</f>
        <v/>
      </c>
    </row>
    <row r="35" ht="20" customHeight="1">
      <c r="A35" s="7" t="inlineStr">
        <is>
          <t>Kitchen &amp; Appliances</t>
        </is>
      </c>
      <c r="B35" s="7" t="inlineStr">
        <is>
          <t>Nespresso Capsule Coffee Machine</t>
        </is>
      </c>
      <c r="C35" s="7" t="inlineStr">
        <is>
          <t>Espresso pod maker for premium welcome tier rating</t>
        </is>
      </c>
      <c r="D35" s="8" t="n">
        <v>1</v>
      </c>
      <c r="E35" s="9" t="n">
        <v>450</v>
      </c>
      <c r="F35" s="9">
        <f>D35*E35</f>
        <v/>
      </c>
    </row>
    <row r="36" ht="20" customHeight="1">
      <c r="A36" s="4" t="inlineStr">
        <is>
          <t>Kitchen &amp; Appliances</t>
        </is>
      </c>
      <c r="B36" s="4" t="inlineStr">
        <is>
          <t>Washing Machine &amp; Dryer Combo</t>
        </is>
      </c>
      <c r="C36" s="4" t="inlineStr">
        <is>
          <t>Front load 7kg/5kg wash-and-dry automated cycles</t>
        </is>
      </c>
      <c r="D36" s="5" t="n">
        <v>1</v>
      </c>
      <c r="E36" s="6" t="n">
        <v>1600</v>
      </c>
      <c r="F36" s="6">
        <f>D36*E36</f>
        <v/>
      </c>
    </row>
    <row r="37" ht="20" customHeight="1">
      <c r="A37" s="7" t="inlineStr">
        <is>
          <t>Kitchen &amp; Appliances</t>
        </is>
      </c>
      <c r="B37" s="7" t="inlineStr">
        <is>
          <t>Non-Stick Cookware Set</t>
        </is>
      </c>
      <c r="C37" s="7" t="inlineStr">
        <is>
          <t>2 Frying pans, 2 Casserole pots with glass lids, 1 wok</t>
        </is>
      </c>
      <c r="D37" s="8" t="n">
        <v>1</v>
      </c>
      <c r="E37" s="9" t="n">
        <v>280</v>
      </c>
      <c r="F37" s="9">
        <f>D37*E37</f>
        <v/>
      </c>
    </row>
    <row r="38" ht="20" customHeight="1">
      <c r="A38" s="4" t="inlineStr">
        <is>
          <t>Kitchen &amp; Appliances</t>
        </is>
      </c>
      <c r="B38" s="4" t="inlineStr">
        <is>
          <t>Chef Knife &amp; Cutting Board Set</t>
        </is>
      </c>
      <c r="C38" s="4" t="inlineStr">
        <is>
          <t>Stainless steel knife bundle + multi-color hygienic boards</t>
        </is>
      </c>
      <c r="D38" s="5" t="n">
        <v>1</v>
      </c>
      <c r="E38" s="6" t="n">
        <v>120</v>
      </c>
      <c r="F38" s="6">
        <f>D38*E38</f>
        <v/>
      </c>
    </row>
    <row r="39" ht="20" customHeight="1">
      <c r="A39" s="7" t="inlineStr">
        <is>
          <t>Kitchen &amp; Appliances</t>
        </is>
      </c>
      <c r="B39" s="7" t="inlineStr">
        <is>
          <t>Dinnerware Sets (Plates &amp; Bowls)</t>
        </is>
      </c>
      <c r="C39" s="7" t="inlineStr">
        <is>
          <t>Corelle or ceramic chip-resistant sets (scaled to max capacity)</t>
        </is>
      </c>
      <c r="D39" s="8" t="n">
        <v>1</v>
      </c>
      <c r="E39" s="9" t="n">
        <v>120</v>
      </c>
      <c r="F39" s="9">
        <f>D39*E39</f>
        <v/>
      </c>
    </row>
    <row r="40" ht="20" customHeight="1">
      <c r="A40" s="4" t="inlineStr">
        <is>
          <t>Kitchen &amp; Appliances</t>
        </is>
      </c>
      <c r="B40" s="4" t="inlineStr">
        <is>
          <t>Glassware Set (Water &amp; Wine)</t>
        </is>
      </c>
      <c r="C40" s="4" t="inlineStr">
        <is>
          <t>High transparency tempered lead-free glassware items</t>
        </is>
      </c>
      <c r="D40" s="5" t="n">
        <v>1</v>
      </c>
      <c r="E40" s="6" t="n">
        <v>80</v>
      </c>
      <c r="F40" s="6">
        <f>D40*E40</f>
        <v/>
      </c>
    </row>
    <row r="41" ht="20" customHeight="1">
      <c r="A41" s="7" t="inlineStr">
        <is>
          <t>Kitchen &amp; Appliances</t>
        </is>
      </c>
      <c r="B41" s="7" t="inlineStr">
        <is>
          <t>Stainless Steel Cutlery Set</t>
        </is>
      </c>
      <c r="C41" s="7" t="inlineStr">
        <is>
          <t>Forks, knives, tablespoons, teaspoons boxed package</t>
        </is>
      </c>
      <c r="D41" s="8" t="n">
        <v>1</v>
      </c>
      <c r="E41" s="9" t="n">
        <v>90</v>
      </c>
      <c r="F41" s="9">
        <f>D41*E41</f>
        <v/>
      </c>
    </row>
    <row r="42" ht="20" customHeight="1">
      <c r="A42" s="4" t="inlineStr">
        <is>
          <t>Kitchen &amp; Appliances</t>
        </is>
      </c>
      <c r="B42" s="4" t="inlineStr">
        <is>
          <t>Kitchen Trash Can &amp; Tool Set</t>
        </is>
      </c>
      <c r="C42" s="4" t="inlineStr">
        <is>
          <t>Step-on airtight pedal bin, can opener, ladles, corkscrew</t>
        </is>
      </c>
      <c r="D42" s="5" t="n">
        <v>1</v>
      </c>
      <c r="E42" s="6" t="n">
        <v>140</v>
      </c>
      <c r="F42" s="6">
        <f>D42*E42</f>
        <v/>
      </c>
    </row>
    <row r="43" ht="20" customHeight="1">
      <c r="A43" s="7" t="inlineStr">
        <is>
          <t>Bathroom Amenities</t>
        </is>
      </c>
      <c r="B43" s="7" t="inlineStr">
        <is>
          <t>Premium Towels Set (2 Changes)</t>
        </is>
      </c>
      <c r="C43" s="7" t="inlineStr">
        <is>
          <t>100% Cotton 600GSM: Bath, Hand, Face towels per occupant</t>
        </is>
      </c>
      <c r="D43" s="8" t="n">
        <v>2</v>
      </c>
      <c r="E43" s="9" t="n">
        <v>90</v>
      </c>
      <c r="F43" s="9">
        <f>D43*E43</f>
        <v/>
      </c>
    </row>
    <row r="44" ht="20" customHeight="1">
      <c r="A44" s="4" t="inlineStr">
        <is>
          <t>Bathroom Amenities</t>
        </is>
      </c>
      <c r="B44" s="4" t="inlineStr">
        <is>
          <t>Ionic Hairdryer</t>
        </is>
      </c>
      <c r="C44" s="4" t="inlineStr">
        <is>
          <t>Wall-mount or storage bracket type 1800W+ capacity</t>
        </is>
      </c>
      <c r="D44" s="5" t="n">
        <v>2</v>
      </c>
      <c r="E44" s="6" t="n">
        <v>110</v>
      </c>
      <c r="F44" s="6">
        <f>D44*E44</f>
        <v/>
      </c>
    </row>
    <row r="45" ht="20" customHeight="1">
      <c r="A45" s="7" t="inlineStr">
        <is>
          <t>Bathroom Amenities</t>
        </is>
      </c>
      <c r="B45" s="7" t="inlineStr">
        <is>
          <t>Pedal Waste Bin &amp; Toilet Brush Set</t>
        </is>
      </c>
      <c r="C45" s="7" t="inlineStr">
        <is>
          <t>Stainless steel rust-free bathroom functional accessory</t>
        </is>
      </c>
      <c r="D45" s="8" t="n">
        <v>2</v>
      </c>
      <c r="E45" s="9" t="n">
        <v>70</v>
      </c>
      <c r="F45" s="9">
        <f>D45*E45</f>
        <v/>
      </c>
    </row>
    <row r="46" ht="20" customHeight="1">
      <c r="A46" s="4" t="inlineStr">
        <is>
          <t>Bathroom Amenities</t>
        </is>
      </c>
      <c r="B46" s="4" t="inlineStr">
        <is>
          <t>Non-Slip Shower Mat &amp; Floor Towel</t>
        </is>
      </c>
      <c r="C46" s="4" t="inlineStr">
        <is>
          <t>Rubberized anti-skid backing for liability compliance</t>
        </is>
      </c>
      <c r="D46" s="5" t="n">
        <v>2</v>
      </c>
      <c r="E46" s="6" t="n">
        <v>50</v>
      </c>
      <c r="F46" s="6">
        <f>D46*E46</f>
        <v/>
      </c>
    </row>
    <row r="47" ht="20" customHeight="1">
      <c r="A47" s="7" t="inlineStr">
        <is>
          <t>Utilities &amp; Upkeep</t>
        </is>
      </c>
      <c r="B47" s="7" t="inlineStr">
        <is>
          <t>Vacuum Cleaner (Bagless)</t>
        </is>
      </c>
      <c r="C47" s="7" t="inlineStr">
        <is>
          <t>High suction multi-surface cyclical motor assembly</t>
        </is>
      </c>
      <c r="D47" s="8" t="n">
        <v>1</v>
      </c>
      <c r="E47" s="9" t="n">
        <v>350</v>
      </c>
      <c r="F47" s="9">
        <f>D47*E47</f>
        <v/>
      </c>
    </row>
    <row r="48" ht="20" customHeight="1">
      <c r="A48" s="4" t="inlineStr">
        <is>
          <t>Utilities &amp; Upkeep</t>
        </is>
      </c>
      <c r="B48" s="4" t="inlineStr">
        <is>
          <t>Ironing Board &amp; Steam Iron Set</t>
        </is>
      </c>
      <c r="C48" s="4" t="inlineStr">
        <is>
          <t>Foldable padded heavy duty board + vertical steam generator</t>
        </is>
      </c>
      <c r="D48" s="5" t="n">
        <v>1</v>
      </c>
      <c r="E48" s="6" t="n">
        <v>220</v>
      </c>
      <c r="F48" s="6">
        <f>D48*E48</f>
        <v/>
      </c>
    </row>
    <row r="49" ht="20" customHeight="1">
      <c r="A49" s="7" t="inlineStr">
        <is>
          <t>Utilities &amp; Upkeep</t>
        </is>
      </c>
      <c r="B49" s="7" t="inlineStr">
        <is>
          <t>Cloth Drying Rack</t>
        </is>
      </c>
      <c r="C49" s="7" t="inlineStr">
        <is>
          <t>Collapsible wing rack for balcony layout setting</t>
        </is>
      </c>
      <c r="D49" s="8" t="n">
        <v>1</v>
      </c>
      <c r="E49" s="9" t="n">
        <v>95</v>
      </c>
      <c r="F49" s="9">
        <f>D49*E49</f>
        <v/>
      </c>
    </row>
    <row r="50" ht="20" customHeight="1">
      <c r="A50" s="4" t="inlineStr">
        <is>
          <t>Utilities &amp; Upkeep</t>
        </is>
      </c>
      <c r="B50" s="4" t="inlineStr">
        <is>
          <t>Mop, Broom &amp; Cleaning Supply Bundle</t>
        </is>
      </c>
      <c r="C50" s="4" t="inlineStr">
        <is>
          <t>Microfiber floor mop, soft bristles, starter cleaning fluids</t>
        </is>
      </c>
      <c r="D50" s="5" t="n">
        <v>1</v>
      </c>
      <c r="E50" s="6" t="n">
        <v>110</v>
      </c>
      <c r="F50" s="6">
        <f>D50*E50</f>
        <v/>
      </c>
    </row>
    <row r="51" ht="20" customHeight="1">
      <c r="A51" s="7" t="inlineStr">
        <is>
          <t>Utilities &amp; Upkeep</t>
        </is>
      </c>
      <c r="B51" s="7" t="inlineStr">
        <is>
          <t>Islamic Prayer Mat</t>
        </is>
      </c>
      <c r="C51" s="7" t="inlineStr">
        <is>
          <t>Standard clean textile layout (Required by DET checklist regulations)</t>
        </is>
      </c>
      <c r="D51" s="8" t="n">
        <v>1</v>
      </c>
      <c r="E51" s="9" t="n">
        <v>35</v>
      </c>
      <c r="F51" s="9">
        <f>D51*E51</f>
        <v/>
      </c>
    </row>
    <row r="52" ht="24" customHeight="1">
      <c r="A52" s="10" t="inlineStr">
        <is>
          <t>Total Estimated Setup Cost</t>
        </is>
      </c>
      <c r="B52" s="11" t="n"/>
      <c r="C52" s="11" t="n"/>
      <c r="D52" s="11" t="n"/>
      <c r="E52" s="11" t="n"/>
      <c r="F52" s="12">
        <f>SUM(F4:F51)</f>
        <v/>
      </c>
    </row>
  </sheetData>
  <mergeCells count="2">
    <mergeCell ref="A52:E5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72" customWidth="1" min="3" max="3"/>
    <col width="12" customWidth="1" min="4" max="4"/>
    <col width="26" customWidth="1" min="5" max="5"/>
    <col width="19" customWidth="1" min="6" max="6"/>
  </cols>
  <sheetData>
    <row r="1" ht="40" customHeight="1">
      <c r="A1" s="1" t="inlineStr">
        <is>
          <t>DET Dubai Holiday Home Compliance Inventory Checklist — 2BR Unit</t>
        </is>
      </c>
    </row>
    <row r="2"/>
    <row r="3" ht="28" customHeight="1">
      <c r="A3" s="2" t="inlineStr">
        <is>
          <t>Category</t>
        </is>
      </c>
      <c r="B3" s="2" t="inlineStr">
        <is>
          <t>Item Name</t>
        </is>
      </c>
      <c r="C3" s="2" t="inlineStr">
        <is>
          <t>DET Required Specification</t>
        </is>
      </c>
      <c r="D3" s="3" t="inlineStr">
        <is>
          <t>Quantity</t>
        </is>
      </c>
      <c r="E3" s="3" t="inlineStr">
        <is>
          <t>Approx Unit Price (AED)</t>
        </is>
      </c>
      <c r="F3" s="3" t="inlineStr">
        <is>
          <t>Total Cost (AED)</t>
        </is>
      </c>
    </row>
    <row r="4" ht="20" customHeight="1">
      <c r="A4" s="4" t="inlineStr">
        <is>
          <t>Compliance &amp; Safety</t>
        </is>
      </c>
      <c r="B4" s="4" t="inlineStr">
        <is>
          <t>SIRA-Approved Smart Lock</t>
        </is>
      </c>
      <c r="C4" s="4" t="inlineStr">
        <is>
          <t>Connected to Keyless/DET portal system</t>
        </is>
      </c>
      <c r="D4" s="5" t="n">
        <v>1</v>
      </c>
      <c r="E4" s="6" t="n">
        <v>800</v>
      </c>
      <c r="F4" s="6">
        <f>D4*E4</f>
        <v/>
      </c>
    </row>
    <row r="5" ht="20" customHeight="1">
      <c r="A5" s="7" t="inlineStr">
        <is>
          <t>Compliance &amp; Safety</t>
        </is>
      </c>
      <c r="B5" s="7" t="inlineStr">
        <is>
          <t>Fire Extinguisher (4.5kg Powder)</t>
        </is>
      </c>
      <c r="C5" s="7" t="inlineStr">
        <is>
          <t>Certified, tag valid for 1 year, kitchen area</t>
        </is>
      </c>
      <c r="D5" s="8" t="n">
        <v>1</v>
      </c>
      <c r="E5" s="9" t="n">
        <v>150</v>
      </c>
      <c r="F5" s="9">
        <f>D5*E5</f>
        <v/>
      </c>
    </row>
    <row r="6" ht="20" customHeight="1">
      <c r="A6" s="4" t="inlineStr">
        <is>
          <t>Compliance &amp; Safety</t>
        </is>
      </c>
      <c r="B6" s="4" t="inlineStr">
        <is>
          <t>Fire Blanket</t>
        </is>
      </c>
      <c r="C6" s="4" t="inlineStr">
        <is>
          <t>Quick-release fiberglass blanket for kitchen</t>
        </is>
      </c>
      <c r="D6" s="5" t="n">
        <v>1</v>
      </c>
      <c r="E6" s="6" t="n">
        <v>45</v>
      </c>
      <c r="F6" s="6">
        <f>D6*E6</f>
        <v/>
      </c>
    </row>
    <row r="7" ht="20" customHeight="1">
      <c r="A7" s="7" t="inlineStr">
        <is>
          <t>Compliance &amp; Safety</t>
        </is>
      </c>
      <c r="B7" s="7" t="inlineStr">
        <is>
          <t>First Aid Kit</t>
        </is>
      </c>
      <c r="C7" s="7" t="inlineStr">
        <is>
          <t>Fully stocked as per Dubai Health Authority standards</t>
        </is>
      </c>
      <c r="D7" s="8" t="n">
        <v>1</v>
      </c>
      <c r="E7" s="9" t="n">
        <v>65</v>
      </c>
      <c r="F7" s="9">
        <f>D7*E7</f>
        <v/>
      </c>
    </row>
    <row r="8" ht="20" customHeight="1">
      <c r="A8" s="4" t="inlineStr">
        <is>
          <t>Compliance &amp; Safety</t>
        </is>
      </c>
      <c r="B8" s="4" t="inlineStr">
        <is>
          <t>DET QR Code &amp; Evacuation Plan Framed</t>
        </is>
      </c>
      <c r="C8" s="4" t="inlineStr">
        <is>
          <t>Mounted below DEWA plaque / inside door</t>
        </is>
      </c>
      <c r="D8" s="5" t="n">
        <v>1</v>
      </c>
      <c r="E8" s="6" t="n">
        <v>50</v>
      </c>
      <c r="F8" s="6">
        <f>D8*E8</f>
        <v/>
      </c>
    </row>
    <row r="9" ht="20" customHeight="1">
      <c r="A9" s="7" t="inlineStr">
        <is>
          <t>Compliance &amp; Safety</t>
        </is>
      </c>
      <c r="B9" s="7" t="inlineStr">
        <is>
          <t>Digital Safe Box</t>
        </is>
      </c>
      <c r="C9" s="7" t="inlineStr">
        <is>
          <t>Electronic lock, anchored inside wardrobe</t>
        </is>
      </c>
      <c r="D9" s="8" t="n">
        <v>2</v>
      </c>
      <c r="E9" s="9" t="n">
        <v>180</v>
      </c>
      <c r="F9" s="9">
        <f>D9*E9</f>
        <v/>
      </c>
    </row>
    <row r="10" ht="20" customHeight="1">
      <c r="A10" s="4" t="inlineStr">
        <is>
          <t>Compliance &amp; Safety</t>
        </is>
      </c>
      <c r="B10" s="4" t="inlineStr">
        <is>
          <t>Smoke Detectors (Standalone / Interlinked)</t>
        </is>
      </c>
      <c r="C10" s="4" t="inlineStr">
        <is>
          <t>Battery backup (if not building central)</t>
        </is>
      </c>
      <c r="D10" s="5" t="n">
        <v>3</v>
      </c>
      <c r="E10" s="6" t="n">
        <v>80</v>
      </c>
      <c r="F10" s="6">
        <f>D10*E10</f>
        <v/>
      </c>
    </row>
    <row r="11" ht="20" customHeight="1">
      <c r="A11" s="7" t="inlineStr">
        <is>
          <t>Living &amp; Dining</t>
        </is>
      </c>
      <c r="B11" s="7" t="inlineStr">
        <is>
          <t>Sofa / Sofa Bed</t>
        </is>
      </c>
      <c r="C11" s="7" t="inlineStr">
        <is>
          <t>3-seater durable upholstery (L-shape or standard)</t>
        </is>
      </c>
      <c r="D11" s="8" t="n">
        <v>1</v>
      </c>
      <c r="E11" s="9" t="n">
        <v>2340</v>
      </c>
      <c r="F11" s="9">
        <f>D11*E11</f>
        <v/>
      </c>
    </row>
    <row r="12" ht="20" customHeight="1">
      <c r="A12" s="4" t="inlineStr">
        <is>
          <t>Living &amp; Dining</t>
        </is>
      </c>
      <c r="B12" s="4" t="inlineStr">
        <is>
          <t>Coffee Table</t>
        </is>
      </c>
      <c r="C12" s="4" t="inlineStr">
        <is>
          <t>Tempered glass or solid laminate wood</t>
        </is>
      </c>
      <c r="D12" s="5" t="n">
        <v>1</v>
      </c>
      <c r="E12" s="6" t="n">
        <v>250</v>
      </c>
      <c r="F12" s="6">
        <f>D12*E12</f>
        <v/>
      </c>
    </row>
    <row r="13" ht="20" customHeight="1">
      <c r="A13" s="7" t="inlineStr">
        <is>
          <t>Living &amp; Dining</t>
        </is>
      </c>
      <c r="B13" s="7" t="inlineStr">
        <is>
          <t>Smart TV (4K UHD)</t>
        </is>
      </c>
      <c r="C13" s="7" t="inlineStr">
        <is>
          <t>50-inch to 65-inch with Netflix/YouTube access</t>
        </is>
      </c>
      <c r="D13" s="8" t="n">
        <v>1</v>
      </c>
      <c r="E13" s="9" t="n">
        <v>1560</v>
      </c>
      <c r="F13" s="9">
        <f>D13*E13</f>
        <v/>
      </c>
    </row>
    <row r="14" ht="20" customHeight="1">
      <c r="A14" s="4" t="inlineStr">
        <is>
          <t>Living &amp; Dining</t>
        </is>
      </c>
      <c r="B14" s="4" t="inlineStr">
        <is>
          <t>TV Console Table</t>
        </is>
      </c>
      <c r="C14" s="4" t="inlineStr">
        <is>
          <t>With cable management and storage slots</t>
        </is>
      </c>
      <c r="D14" s="5" t="n">
        <v>1</v>
      </c>
      <c r="E14" s="6" t="n">
        <v>350</v>
      </c>
      <c r="F14" s="6">
        <f>D14*E14</f>
        <v/>
      </c>
    </row>
    <row r="15" ht="20" customHeight="1">
      <c r="A15" s="7" t="inlineStr">
        <is>
          <t>Living &amp; Dining</t>
        </is>
      </c>
      <c r="B15" s="7" t="inlineStr">
        <is>
          <t>Dining Table</t>
        </is>
      </c>
      <c r="C15" s="7" t="inlineStr">
        <is>
          <t>Sized relative to maximum occupancy capacity</t>
        </is>
      </c>
      <c r="D15" s="8" t="n">
        <v>1</v>
      </c>
      <c r="E15" s="9" t="n">
        <v>780</v>
      </c>
      <c r="F15" s="9">
        <f>D15*E15</f>
        <v/>
      </c>
    </row>
    <row r="16" ht="20" customHeight="1">
      <c r="A16" s="4" t="inlineStr">
        <is>
          <t>Living &amp; Dining</t>
        </is>
      </c>
      <c r="B16" s="4" t="inlineStr">
        <is>
          <t>Dining Chairs</t>
        </is>
      </c>
      <c r="C16" s="4" t="inlineStr">
        <is>
          <t>Padded comfortable chairs with high backrest</t>
        </is>
      </c>
      <c r="D16" s="5" t="n">
        <v>4</v>
      </c>
      <c r="E16" s="6" t="n">
        <v>150</v>
      </c>
      <c r="F16" s="6">
        <f>D16*E16</f>
        <v/>
      </c>
    </row>
    <row r="17" ht="20" customHeight="1">
      <c r="A17" s="7" t="inlineStr">
        <is>
          <t>Living &amp; Dining</t>
        </is>
      </c>
      <c r="B17" s="7" t="inlineStr">
        <is>
          <t>High-Speed Wi-Fi Router / Mesh Node</t>
        </is>
      </c>
      <c r="C17" s="7" t="inlineStr">
        <is>
          <t>Dual-band high throughput router setup</t>
        </is>
      </c>
      <c r="D17" s="8" t="n">
        <v>1</v>
      </c>
      <c r="E17" s="9" t="n">
        <v>300</v>
      </c>
      <c r="F17" s="9">
        <f>D17*E17</f>
        <v/>
      </c>
    </row>
    <row r="18" ht="20" customHeight="1">
      <c r="A18" s="4" t="inlineStr">
        <is>
          <t>Living &amp; Dining</t>
        </is>
      </c>
      <c r="B18" s="4" t="inlineStr">
        <is>
          <t>Blackout Curtains / Blinds Set</t>
        </is>
      </c>
      <c r="C18" s="4" t="inlineStr">
        <is>
          <t>Full length window coverage for living room</t>
        </is>
      </c>
      <c r="D18" s="5" t="n">
        <v>1</v>
      </c>
      <c r="E18" s="6" t="n">
        <v>400</v>
      </c>
      <c r="F18" s="6">
        <f>D18*E18</f>
        <v/>
      </c>
    </row>
    <row r="19" ht="20" customHeight="1">
      <c r="A19" s="7" t="inlineStr">
        <is>
          <t>Living &amp; Dining</t>
        </is>
      </c>
      <c r="B19" s="7" t="inlineStr">
        <is>
          <t>Floor Lamp / Accent Lighting</t>
        </is>
      </c>
      <c r="C19" s="7" t="inlineStr">
        <is>
          <t>Warm LED lighting for ambient hotel atmosphere</t>
        </is>
      </c>
      <c r="D19" s="8" t="n">
        <v>1</v>
      </c>
      <c r="E19" s="9" t="n">
        <v>180</v>
      </c>
      <c r="F19" s="9">
        <f>D19*E19</f>
        <v/>
      </c>
    </row>
    <row r="20" ht="20" customHeight="1">
      <c r="A20" s="4" t="inlineStr">
        <is>
          <t>Bedroom Essentials</t>
        </is>
      </c>
      <c r="B20" s="4" t="inlineStr">
        <is>
          <t>King/Queen Bed Frame</t>
        </is>
      </c>
      <c r="C20" s="4" t="inlineStr">
        <is>
          <t>Solid build timber or upholstered headboard frame</t>
        </is>
      </c>
      <c r="D20" s="5" t="n">
        <v>2</v>
      </c>
      <c r="E20" s="6" t="n">
        <v>900</v>
      </c>
      <c r="F20" s="6">
        <f>D20*E20</f>
        <v/>
      </c>
    </row>
    <row r="21" ht="20" customHeight="1">
      <c r="A21" s="7" t="inlineStr">
        <is>
          <t>Bedroom Essentials</t>
        </is>
      </c>
      <c r="B21" s="7" t="inlineStr">
        <is>
          <t>Hotel Grade Orthopedic Mattress</t>
        </is>
      </c>
      <c r="C21" s="7" t="inlineStr">
        <is>
          <t>Pocket spring medium-firm, minimum 20cm thickness</t>
        </is>
      </c>
      <c r="D21" s="8" t="n">
        <v>2</v>
      </c>
      <c r="E21" s="9" t="n">
        <v>1000</v>
      </c>
      <c r="F21" s="9">
        <f>D21*E21</f>
        <v/>
      </c>
    </row>
    <row r="22" ht="20" customHeight="1">
      <c r="A22" s="4" t="inlineStr">
        <is>
          <t>Bedroom Essentials</t>
        </is>
      </c>
      <c r="B22" s="4" t="inlineStr">
        <is>
          <t>Bedside Tables</t>
        </is>
      </c>
      <c r="C22" s="4" t="inlineStr">
        <is>
          <t>Set of 2 units flanking the bed structure</t>
        </is>
      </c>
      <c r="D22" s="5" t="n">
        <v>2</v>
      </c>
      <c r="E22" s="6" t="n">
        <v>240</v>
      </c>
      <c r="F22" s="6">
        <f>D22*E22</f>
        <v/>
      </c>
    </row>
    <row r="23" ht="20" customHeight="1">
      <c r="A23" s="7" t="inlineStr">
        <is>
          <t>Bedroom Essentials</t>
        </is>
      </c>
      <c r="B23" s="7" t="inlineStr">
        <is>
          <t>Bedside Lamps with USB Ports</t>
        </is>
      </c>
      <c r="C23" s="7" t="inlineStr">
        <is>
          <t>Set of 2 lamps with integrated guest charging points</t>
        </is>
      </c>
      <c r="D23" s="8" t="n">
        <v>2</v>
      </c>
      <c r="E23" s="9" t="n">
        <v>160</v>
      </c>
      <c r="F23" s="9">
        <f>D23*E23</f>
        <v/>
      </c>
    </row>
    <row r="24" ht="20" customHeight="1">
      <c r="A24" s="4" t="inlineStr">
        <is>
          <t>Bedroom Essentials</t>
        </is>
      </c>
      <c r="B24" s="4" t="inlineStr">
        <is>
          <t>Hotel Pillows (Pack of 4)</t>
        </is>
      </c>
      <c r="C24" s="4" t="inlineStr">
        <is>
          <t>Hypoallergenic down-alternative, two firm, two soft</t>
        </is>
      </c>
      <c r="D24" s="5" t="n">
        <v>2</v>
      </c>
      <c r="E24" s="6" t="n">
        <v>120</v>
      </c>
      <c r="F24" s="6">
        <f>D24*E24</f>
        <v/>
      </c>
    </row>
    <row r="25" ht="20" customHeight="1">
      <c r="A25" s="7" t="inlineStr">
        <is>
          <t>Bedroom Essentials</t>
        </is>
      </c>
      <c r="B25" s="7" t="inlineStr">
        <is>
          <t>All-Season Duvet &amp; Protector</t>
        </is>
      </c>
      <c r="C25" s="7" t="inlineStr">
        <is>
          <t>Microfiber filling with waterproof quilted mattress cover</t>
        </is>
      </c>
      <c r="D25" s="8" t="n">
        <v>2</v>
      </c>
      <c r="E25" s="9" t="n">
        <v>180</v>
      </c>
      <c r="F25" s="9">
        <f>D25*E25</f>
        <v/>
      </c>
    </row>
    <row r="26" ht="20" customHeight="1">
      <c r="A26" s="4" t="inlineStr">
        <is>
          <t>Bedroom Essentials</t>
        </is>
      </c>
      <c r="B26" s="4" t="inlineStr">
        <is>
          <t>Premium White Linen Set (2 Full Changes)</t>
        </is>
      </c>
      <c r="C26" s="4" t="inlineStr">
        <is>
          <t>200+ Thread Count: 2x Fitted sheets, 2x Duvet covers, 8x Pillowcases</t>
        </is>
      </c>
      <c r="D26" s="5" t="n">
        <v>2</v>
      </c>
      <c r="E26" s="6" t="n">
        <v>350</v>
      </c>
      <c r="F26" s="6">
        <f>D26*E26</f>
        <v/>
      </c>
    </row>
    <row r="27" ht="20" customHeight="1">
      <c r="A27" s="7" t="inlineStr">
        <is>
          <t>Bedroom Essentials</t>
        </is>
      </c>
      <c r="B27" s="7" t="inlineStr">
        <is>
          <t>Wardrobe Hangers Pack</t>
        </is>
      </c>
      <c r="C27" s="7" t="inlineStr">
        <is>
          <t>Set of 20 high-quality wooden/rubberized anti-slip hangers</t>
        </is>
      </c>
      <c r="D27" s="8" t="n">
        <v>2</v>
      </c>
      <c r="E27" s="9" t="n">
        <v>40</v>
      </c>
      <c r="F27" s="9">
        <f>D27*E27</f>
        <v/>
      </c>
    </row>
    <row r="28" ht="20" customHeight="1">
      <c r="A28" s="4" t="inlineStr">
        <is>
          <t>Bedroom Essentials</t>
        </is>
      </c>
      <c r="B28" s="4" t="inlineStr">
        <is>
          <t>Full-Length Dresser Mirror</t>
        </is>
      </c>
      <c r="C28" s="4" t="inlineStr">
        <is>
          <t>Wall-mounted or freestanding structural panel mirror</t>
        </is>
      </c>
      <c r="D28" s="5" t="n">
        <v>2</v>
      </c>
      <c r="E28" s="6" t="n">
        <v>150</v>
      </c>
      <c r="F28" s="6">
        <f>D28*E28</f>
        <v/>
      </c>
    </row>
    <row r="29" ht="20" customHeight="1">
      <c r="A29" s="7" t="inlineStr">
        <is>
          <t>Bedroom Essentials</t>
        </is>
      </c>
      <c r="B29" s="7" t="inlineStr">
        <is>
          <t>Bedroom Blackout Curtains Set</t>
        </is>
      </c>
      <c r="C29" s="7" t="inlineStr">
        <is>
          <t>Strict thermal/light blockage for guest sleep comfort</t>
        </is>
      </c>
      <c r="D29" s="8" t="n">
        <v>2</v>
      </c>
      <c r="E29" s="9" t="n">
        <v>350</v>
      </c>
      <c r="F29" s="9">
        <f>D29*E29</f>
        <v/>
      </c>
    </row>
    <row r="30" ht="20" customHeight="1">
      <c r="A30" s="4" t="inlineStr">
        <is>
          <t>Kitchen &amp; Appliances</t>
        </is>
      </c>
      <c r="B30" s="4" t="inlineStr">
        <is>
          <t>Refrigerator &amp; Freezer Combo</t>
        </is>
      </c>
      <c r="C30" s="4" t="inlineStr">
        <is>
          <t>No-frost, minimum 300L energy efficient double door</t>
        </is>
      </c>
      <c r="D30" s="5" t="n">
        <v>1</v>
      </c>
      <c r="E30" s="6" t="n">
        <v>1400</v>
      </c>
      <c r="F30" s="6">
        <f>D30*E30</f>
        <v/>
      </c>
    </row>
    <row r="31" ht="20" customHeight="1">
      <c r="A31" s="7" t="inlineStr">
        <is>
          <t>Kitchen &amp; Appliances</t>
        </is>
      </c>
      <c r="B31" s="7" t="inlineStr">
        <is>
          <t>Gas/Electric Cooker &amp; Oven</t>
        </is>
      </c>
      <c r="C31" s="7" t="inlineStr">
        <is>
          <t>4-burner integrated unit with safety gas-cutoff mechanism</t>
        </is>
      </c>
      <c r="D31" s="8" t="n">
        <v>1</v>
      </c>
      <c r="E31" s="9" t="n">
        <v>1200</v>
      </c>
      <c r="F31" s="9">
        <f>D31*E31</f>
        <v/>
      </c>
    </row>
    <row r="32" ht="20" customHeight="1">
      <c r="A32" s="4" t="inlineStr">
        <is>
          <t>Kitchen &amp; Appliances</t>
        </is>
      </c>
      <c r="B32" s="4" t="inlineStr">
        <is>
          <t>Microwave Oven</t>
        </is>
      </c>
      <c r="C32" s="4" t="inlineStr">
        <is>
          <t>Digital control interface, 20L minimum volume capacity</t>
        </is>
      </c>
      <c r="D32" s="5" t="n">
        <v>1</v>
      </c>
      <c r="E32" s="6" t="n">
        <v>250</v>
      </c>
      <c r="F32" s="6">
        <f>D32*E32</f>
        <v/>
      </c>
    </row>
    <row r="33" ht="20" customHeight="1">
      <c r="A33" s="7" t="inlineStr">
        <is>
          <t>Kitchen &amp; Appliances</t>
        </is>
      </c>
      <c r="B33" s="7" t="inlineStr">
        <is>
          <t>Electric Water Kettle</t>
        </is>
      </c>
      <c r="C33" s="7" t="inlineStr">
        <is>
          <t>Stainless steel automatic auto-shutoff 1.7L boiler</t>
        </is>
      </c>
      <c r="D33" s="8" t="n">
        <v>1</v>
      </c>
      <c r="E33" s="9" t="n">
        <v>80</v>
      </c>
      <c r="F33" s="9">
        <f>D33*E33</f>
        <v/>
      </c>
    </row>
    <row r="34" ht="20" customHeight="1">
      <c r="A34" s="4" t="inlineStr">
        <is>
          <t>Kitchen &amp; Appliances</t>
        </is>
      </c>
      <c r="B34" s="4" t="inlineStr">
        <is>
          <t>2-Slot Bread Toaster</t>
        </is>
      </c>
      <c r="C34" s="4" t="inlineStr">
        <is>
          <t>Variable browning control settings interface</t>
        </is>
      </c>
      <c r="D34" s="5" t="n">
        <v>1</v>
      </c>
      <c r="E34" s="6" t="n">
        <v>90</v>
      </c>
      <c r="F34" s="6">
        <f>D34*E34</f>
        <v/>
      </c>
    </row>
    <row r="35" ht="20" customHeight="1">
      <c r="A35" s="7" t="inlineStr">
        <is>
          <t>Kitchen &amp; Appliances</t>
        </is>
      </c>
      <c r="B35" s="7" t="inlineStr">
        <is>
          <t>Nespresso Capsule Coffee Machine</t>
        </is>
      </c>
      <c r="C35" s="7" t="inlineStr">
        <is>
          <t>Espresso pod maker for premium welcome tier rating</t>
        </is>
      </c>
      <c r="D35" s="8" t="n">
        <v>1</v>
      </c>
      <c r="E35" s="9" t="n">
        <v>450</v>
      </c>
      <c r="F35" s="9">
        <f>D35*E35</f>
        <v/>
      </c>
    </row>
    <row r="36" ht="20" customHeight="1">
      <c r="A36" s="4" t="inlineStr">
        <is>
          <t>Kitchen &amp; Appliances</t>
        </is>
      </c>
      <c r="B36" s="4" t="inlineStr">
        <is>
          <t>Washing Machine &amp; Dryer Combo</t>
        </is>
      </c>
      <c r="C36" s="4" t="inlineStr">
        <is>
          <t>Front load 7kg/5kg wash-and-dry automated cycles</t>
        </is>
      </c>
      <c r="D36" s="5" t="n">
        <v>1</v>
      </c>
      <c r="E36" s="6" t="n">
        <v>1600</v>
      </c>
      <c r="F36" s="6">
        <f>D36*E36</f>
        <v/>
      </c>
    </row>
    <row r="37" ht="20" customHeight="1">
      <c r="A37" s="7" t="inlineStr">
        <is>
          <t>Kitchen &amp; Appliances</t>
        </is>
      </c>
      <c r="B37" s="7" t="inlineStr">
        <is>
          <t>Non-Stick Cookware Set</t>
        </is>
      </c>
      <c r="C37" s="7" t="inlineStr">
        <is>
          <t>2 Frying pans, 2 Casserole pots with glass lids, 1 wok</t>
        </is>
      </c>
      <c r="D37" s="8" t="n">
        <v>1</v>
      </c>
      <c r="E37" s="9" t="n">
        <v>280</v>
      </c>
      <c r="F37" s="9">
        <f>D37*E37</f>
        <v/>
      </c>
    </row>
    <row r="38" ht="20" customHeight="1">
      <c r="A38" s="4" t="inlineStr">
        <is>
          <t>Kitchen &amp; Appliances</t>
        </is>
      </c>
      <c r="B38" s="4" t="inlineStr">
        <is>
          <t>Chef Knife &amp; Cutting Board Set</t>
        </is>
      </c>
      <c r="C38" s="4" t="inlineStr">
        <is>
          <t>Stainless steel knife bundle + multi-color hygienic boards</t>
        </is>
      </c>
      <c r="D38" s="5" t="n">
        <v>1</v>
      </c>
      <c r="E38" s="6" t="n">
        <v>120</v>
      </c>
      <c r="F38" s="6">
        <f>D38*E38</f>
        <v/>
      </c>
    </row>
    <row r="39" ht="20" customHeight="1">
      <c r="A39" s="7" t="inlineStr">
        <is>
          <t>Kitchen &amp; Appliances</t>
        </is>
      </c>
      <c r="B39" s="7" t="inlineStr">
        <is>
          <t>Dinnerware Sets (Plates &amp; Bowls)</t>
        </is>
      </c>
      <c r="C39" s="7" t="inlineStr">
        <is>
          <t>Corelle or ceramic chip-resistant sets (scaled to max capacity)</t>
        </is>
      </c>
      <c r="D39" s="8" t="n">
        <v>1</v>
      </c>
      <c r="E39" s="9" t="n">
        <v>180</v>
      </c>
      <c r="F39" s="9">
        <f>D39*E39</f>
        <v/>
      </c>
    </row>
    <row r="40" ht="20" customHeight="1">
      <c r="A40" s="4" t="inlineStr">
        <is>
          <t>Kitchen &amp; Appliances</t>
        </is>
      </c>
      <c r="B40" s="4" t="inlineStr">
        <is>
          <t>Glassware Set (Water &amp; Wine)</t>
        </is>
      </c>
      <c r="C40" s="4" t="inlineStr">
        <is>
          <t>High transparency tempered lead-free glassware items</t>
        </is>
      </c>
      <c r="D40" s="5" t="n">
        <v>1</v>
      </c>
      <c r="E40" s="6" t="n">
        <v>120</v>
      </c>
      <c r="F40" s="6">
        <f>D40*E40</f>
        <v/>
      </c>
    </row>
    <row r="41" ht="20" customHeight="1">
      <c r="A41" s="7" t="inlineStr">
        <is>
          <t>Kitchen &amp; Appliances</t>
        </is>
      </c>
      <c r="B41" s="7" t="inlineStr">
        <is>
          <t>Stainless Steel Cutlery Set</t>
        </is>
      </c>
      <c r="C41" s="7" t="inlineStr">
        <is>
          <t>Forks, knives, tablespoons, teaspoons boxed package</t>
        </is>
      </c>
      <c r="D41" s="8" t="n">
        <v>1</v>
      </c>
      <c r="E41" s="9" t="n">
        <v>135</v>
      </c>
      <c r="F41" s="9">
        <f>D41*E41</f>
        <v/>
      </c>
    </row>
    <row r="42" ht="20" customHeight="1">
      <c r="A42" s="4" t="inlineStr">
        <is>
          <t>Kitchen &amp; Appliances</t>
        </is>
      </c>
      <c r="B42" s="4" t="inlineStr">
        <is>
          <t>Kitchen Trash Can &amp; Tool Set</t>
        </is>
      </c>
      <c r="C42" s="4" t="inlineStr">
        <is>
          <t>Step-on airtight pedal bin, can opener, ladles, corkscrew</t>
        </is>
      </c>
      <c r="D42" s="5" t="n">
        <v>1</v>
      </c>
      <c r="E42" s="6" t="n">
        <v>140</v>
      </c>
      <c r="F42" s="6">
        <f>D42*E42</f>
        <v/>
      </c>
    </row>
    <row r="43" ht="20" customHeight="1">
      <c r="A43" s="7" t="inlineStr">
        <is>
          <t>Bathroom Amenities</t>
        </is>
      </c>
      <c r="B43" s="7" t="inlineStr">
        <is>
          <t>Premium Towels Set (2 Changes)</t>
        </is>
      </c>
      <c r="C43" s="7" t="inlineStr">
        <is>
          <t>100% Cotton 600GSM: Bath, Hand, Face towels per occupant</t>
        </is>
      </c>
      <c r="D43" s="8" t="n">
        <v>4</v>
      </c>
      <c r="E43" s="9" t="n">
        <v>90</v>
      </c>
      <c r="F43" s="9">
        <f>D43*E43</f>
        <v/>
      </c>
    </row>
    <row r="44" ht="20" customHeight="1">
      <c r="A44" s="4" t="inlineStr">
        <is>
          <t>Bathroom Amenities</t>
        </is>
      </c>
      <c r="B44" s="4" t="inlineStr">
        <is>
          <t>Ionic Hairdryer</t>
        </is>
      </c>
      <c r="C44" s="4" t="inlineStr">
        <is>
          <t>Wall-mount or storage bracket type 1800W+ capacity</t>
        </is>
      </c>
      <c r="D44" s="5" t="n">
        <v>3</v>
      </c>
      <c r="E44" s="6" t="n">
        <v>110</v>
      </c>
      <c r="F44" s="6">
        <f>D44*E44</f>
        <v/>
      </c>
    </row>
    <row r="45" ht="20" customHeight="1">
      <c r="A45" s="7" t="inlineStr">
        <is>
          <t>Bathroom Amenities</t>
        </is>
      </c>
      <c r="B45" s="7" t="inlineStr">
        <is>
          <t>Pedal Waste Bin &amp; Toilet Brush Set</t>
        </is>
      </c>
      <c r="C45" s="7" t="inlineStr">
        <is>
          <t>Stainless steel rust-free bathroom functional accessory</t>
        </is>
      </c>
      <c r="D45" s="8" t="n">
        <v>3</v>
      </c>
      <c r="E45" s="9" t="n">
        <v>70</v>
      </c>
      <c r="F45" s="9">
        <f>D45*E45</f>
        <v/>
      </c>
    </row>
    <row r="46" ht="20" customHeight="1">
      <c r="A46" s="4" t="inlineStr">
        <is>
          <t>Bathroom Amenities</t>
        </is>
      </c>
      <c r="B46" s="4" t="inlineStr">
        <is>
          <t>Non-Slip Shower Mat &amp; Floor Towel</t>
        </is>
      </c>
      <c r="C46" s="4" t="inlineStr">
        <is>
          <t>Rubberized anti-skid backing for liability compliance</t>
        </is>
      </c>
      <c r="D46" s="5" t="n">
        <v>3</v>
      </c>
      <c r="E46" s="6" t="n">
        <v>50</v>
      </c>
      <c r="F46" s="6">
        <f>D46*E46</f>
        <v/>
      </c>
    </row>
    <row r="47" ht="20" customHeight="1">
      <c r="A47" s="7" t="inlineStr">
        <is>
          <t>Utilities &amp; Upkeep</t>
        </is>
      </c>
      <c r="B47" s="7" t="inlineStr">
        <is>
          <t>Vacuum Cleaner (Bagless)</t>
        </is>
      </c>
      <c r="C47" s="7" t="inlineStr">
        <is>
          <t>High suction multi-surface cyclical motor assembly</t>
        </is>
      </c>
      <c r="D47" s="8" t="n">
        <v>1</v>
      </c>
      <c r="E47" s="9" t="n">
        <v>350</v>
      </c>
      <c r="F47" s="9">
        <f>D47*E47</f>
        <v/>
      </c>
    </row>
    <row r="48" ht="20" customHeight="1">
      <c r="A48" s="4" t="inlineStr">
        <is>
          <t>Utilities &amp; Upkeep</t>
        </is>
      </c>
      <c r="B48" s="4" t="inlineStr">
        <is>
          <t>Ironing Board &amp; Steam Iron Set</t>
        </is>
      </c>
      <c r="C48" s="4" t="inlineStr">
        <is>
          <t>Foldable padded heavy duty board + vertical steam generator</t>
        </is>
      </c>
      <c r="D48" s="5" t="n">
        <v>1</v>
      </c>
      <c r="E48" s="6" t="n">
        <v>220</v>
      </c>
      <c r="F48" s="6">
        <f>D48*E48</f>
        <v/>
      </c>
    </row>
    <row r="49" ht="20" customHeight="1">
      <c r="A49" s="7" t="inlineStr">
        <is>
          <t>Utilities &amp; Upkeep</t>
        </is>
      </c>
      <c r="B49" s="7" t="inlineStr">
        <is>
          <t>Cloth Drying Rack</t>
        </is>
      </c>
      <c r="C49" s="7" t="inlineStr">
        <is>
          <t>Collapsible wing rack for balcony layout setting</t>
        </is>
      </c>
      <c r="D49" s="8" t="n">
        <v>1</v>
      </c>
      <c r="E49" s="9" t="n">
        <v>95</v>
      </c>
      <c r="F49" s="9">
        <f>D49*E49</f>
        <v/>
      </c>
    </row>
    <row r="50" ht="20" customHeight="1">
      <c r="A50" s="4" t="inlineStr">
        <is>
          <t>Utilities &amp; Upkeep</t>
        </is>
      </c>
      <c r="B50" s="4" t="inlineStr">
        <is>
          <t>Mop, Broom &amp; Cleaning Supply Bundle</t>
        </is>
      </c>
      <c r="C50" s="4" t="inlineStr">
        <is>
          <t>Microfiber floor mop, soft bristles, starter cleaning fluids</t>
        </is>
      </c>
      <c r="D50" s="5" t="n">
        <v>1</v>
      </c>
      <c r="E50" s="6" t="n">
        <v>110</v>
      </c>
      <c r="F50" s="6">
        <f>D50*E50</f>
        <v/>
      </c>
    </row>
    <row r="51" ht="20" customHeight="1">
      <c r="A51" s="7" t="inlineStr">
        <is>
          <t>Utilities &amp; Upkeep</t>
        </is>
      </c>
      <c r="B51" s="7" t="inlineStr">
        <is>
          <t>Islamic Prayer Mat</t>
        </is>
      </c>
      <c r="C51" s="7" t="inlineStr">
        <is>
          <t>Standard clean textile layout (Required by DET checklist regulations)</t>
        </is>
      </c>
      <c r="D51" s="8" t="n">
        <v>2</v>
      </c>
      <c r="E51" s="9" t="n">
        <v>35</v>
      </c>
      <c r="F51" s="9">
        <f>D51*E51</f>
        <v/>
      </c>
    </row>
    <row r="52" ht="24" customHeight="1">
      <c r="A52" s="10" t="inlineStr">
        <is>
          <t>Total Estimated Setup Cost</t>
        </is>
      </c>
      <c r="B52" s="11" t="n"/>
      <c r="C52" s="11" t="n"/>
      <c r="D52" s="11" t="n"/>
      <c r="E52" s="11" t="n"/>
      <c r="F52" s="12">
        <f>SUM(F4:F51)</f>
        <v/>
      </c>
    </row>
  </sheetData>
  <mergeCells count="2">
    <mergeCell ref="A52:E5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72" customWidth="1" min="3" max="3"/>
    <col width="12" customWidth="1" min="4" max="4"/>
    <col width="26" customWidth="1" min="5" max="5"/>
    <col width="19" customWidth="1" min="6" max="6"/>
  </cols>
  <sheetData>
    <row r="1" ht="40" customHeight="1">
      <c r="A1" s="1" t="inlineStr">
        <is>
          <t>DET Dubai Holiday Home Compliance Inventory Checklist — 3BR Unit</t>
        </is>
      </c>
    </row>
    <row r="2"/>
    <row r="3" ht="28" customHeight="1">
      <c r="A3" s="2" t="inlineStr">
        <is>
          <t>Category</t>
        </is>
      </c>
      <c r="B3" s="2" t="inlineStr">
        <is>
          <t>Item Name</t>
        </is>
      </c>
      <c r="C3" s="2" t="inlineStr">
        <is>
          <t>DET Required Specification</t>
        </is>
      </c>
      <c r="D3" s="3" t="inlineStr">
        <is>
          <t>Quantity</t>
        </is>
      </c>
      <c r="E3" s="3" t="inlineStr">
        <is>
          <t>Approx Unit Price (AED)</t>
        </is>
      </c>
      <c r="F3" s="3" t="inlineStr">
        <is>
          <t>Total Cost (AED)</t>
        </is>
      </c>
    </row>
    <row r="4" ht="20" customHeight="1">
      <c r="A4" s="4" t="inlineStr">
        <is>
          <t>Compliance &amp; Safety</t>
        </is>
      </c>
      <c r="B4" s="4" t="inlineStr">
        <is>
          <t>SIRA-Approved Smart Lock</t>
        </is>
      </c>
      <c r="C4" s="4" t="inlineStr">
        <is>
          <t>Connected to Keyless/DET portal system</t>
        </is>
      </c>
      <c r="D4" s="5" t="n">
        <v>1</v>
      </c>
      <c r="E4" s="6" t="n">
        <v>800</v>
      </c>
      <c r="F4" s="6">
        <f>D4*E4</f>
        <v/>
      </c>
    </row>
    <row r="5" ht="20" customHeight="1">
      <c r="A5" s="7" t="inlineStr">
        <is>
          <t>Compliance &amp; Safety</t>
        </is>
      </c>
      <c r="B5" s="7" t="inlineStr">
        <is>
          <t>Fire Extinguisher (4.5kg Powder)</t>
        </is>
      </c>
      <c r="C5" s="7" t="inlineStr">
        <is>
          <t>Certified, tag valid for 1 year, kitchen area</t>
        </is>
      </c>
      <c r="D5" s="8" t="n">
        <v>1</v>
      </c>
      <c r="E5" s="9" t="n">
        <v>150</v>
      </c>
      <c r="F5" s="9">
        <f>D5*E5</f>
        <v/>
      </c>
    </row>
    <row r="6" ht="20" customHeight="1">
      <c r="A6" s="4" t="inlineStr">
        <is>
          <t>Compliance &amp; Safety</t>
        </is>
      </c>
      <c r="B6" s="4" t="inlineStr">
        <is>
          <t>Fire Blanket</t>
        </is>
      </c>
      <c r="C6" s="4" t="inlineStr">
        <is>
          <t>Quick-release fiberglass blanket for kitchen</t>
        </is>
      </c>
      <c r="D6" s="5" t="n">
        <v>1</v>
      </c>
      <c r="E6" s="6" t="n">
        <v>45</v>
      </c>
      <c r="F6" s="6">
        <f>D6*E6</f>
        <v/>
      </c>
    </row>
    <row r="7" ht="20" customHeight="1">
      <c r="A7" s="7" t="inlineStr">
        <is>
          <t>Compliance &amp; Safety</t>
        </is>
      </c>
      <c r="B7" s="7" t="inlineStr">
        <is>
          <t>First Aid Kit</t>
        </is>
      </c>
      <c r="C7" s="7" t="inlineStr">
        <is>
          <t>Fully stocked as per Dubai Health Authority standards</t>
        </is>
      </c>
      <c r="D7" s="8" t="n">
        <v>1</v>
      </c>
      <c r="E7" s="9" t="n">
        <v>65</v>
      </c>
      <c r="F7" s="9">
        <f>D7*E7</f>
        <v/>
      </c>
    </row>
    <row r="8" ht="20" customHeight="1">
      <c r="A8" s="4" t="inlineStr">
        <is>
          <t>Compliance &amp; Safety</t>
        </is>
      </c>
      <c r="B8" s="4" t="inlineStr">
        <is>
          <t>DET QR Code &amp; Evacuation Plan Framed</t>
        </is>
      </c>
      <c r="C8" s="4" t="inlineStr">
        <is>
          <t>Mounted below DEWA plaque / inside door</t>
        </is>
      </c>
      <c r="D8" s="5" t="n">
        <v>1</v>
      </c>
      <c r="E8" s="6" t="n">
        <v>50</v>
      </c>
      <c r="F8" s="6">
        <f>D8*E8</f>
        <v/>
      </c>
    </row>
    <row r="9" ht="20" customHeight="1">
      <c r="A9" s="7" t="inlineStr">
        <is>
          <t>Compliance &amp; Safety</t>
        </is>
      </c>
      <c r="B9" s="7" t="inlineStr">
        <is>
          <t>Digital Safe Box</t>
        </is>
      </c>
      <c r="C9" s="7" t="inlineStr">
        <is>
          <t>Electronic lock, anchored inside wardrobe</t>
        </is>
      </c>
      <c r="D9" s="8" t="n">
        <v>3</v>
      </c>
      <c r="E9" s="9" t="n">
        <v>180</v>
      </c>
      <c r="F9" s="9">
        <f>D9*E9</f>
        <v/>
      </c>
    </row>
    <row r="10" ht="20" customHeight="1">
      <c r="A10" s="4" t="inlineStr">
        <is>
          <t>Compliance &amp; Safety</t>
        </is>
      </c>
      <c r="B10" s="4" t="inlineStr">
        <is>
          <t>Smoke Detectors (Standalone / Interlinked)</t>
        </is>
      </c>
      <c r="C10" s="4" t="inlineStr">
        <is>
          <t>Battery backup (if not building central)</t>
        </is>
      </c>
      <c r="D10" s="5" t="n">
        <v>4</v>
      </c>
      <c r="E10" s="6" t="n">
        <v>80</v>
      </c>
      <c r="F10" s="6">
        <f>D10*E10</f>
        <v/>
      </c>
    </row>
    <row r="11" ht="20" customHeight="1">
      <c r="A11" s="7" t="inlineStr">
        <is>
          <t>Living &amp; Dining</t>
        </is>
      </c>
      <c r="B11" s="7" t="inlineStr">
        <is>
          <t>Sofa / Sofa Bed</t>
        </is>
      </c>
      <c r="C11" s="7" t="inlineStr">
        <is>
          <t>3-seater durable upholstery (L-shape or standard)</t>
        </is>
      </c>
      <c r="D11" s="8" t="n">
        <v>1</v>
      </c>
      <c r="E11" s="9" t="n">
        <v>2880</v>
      </c>
      <c r="F11" s="9">
        <f>D11*E11</f>
        <v/>
      </c>
    </row>
    <row r="12" ht="20" customHeight="1">
      <c r="A12" s="4" t="inlineStr">
        <is>
          <t>Living &amp; Dining</t>
        </is>
      </c>
      <c r="B12" s="4" t="inlineStr">
        <is>
          <t>Coffee Table</t>
        </is>
      </c>
      <c r="C12" s="4" t="inlineStr">
        <is>
          <t>Tempered glass or solid laminate wood</t>
        </is>
      </c>
      <c r="D12" s="5" t="n">
        <v>1</v>
      </c>
      <c r="E12" s="6" t="n">
        <v>250</v>
      </c>
      <c r="F12" s="6">
        <f>D12*E12</f>
        <v/>
      </c>
    </row>
    <row r="13" ht="20" customHeight="1">
      <c r="A13" s="7" t="inlineStr">
        <is>
          <t>Living &amp; Dining</t>
        </is>
      </c>
      <c r="B13" s="7" t="inlineStr">
        <is>
          <t>Smart TV (4K UHD)</t>
        </is>
      </c>
      <c r="C13" s="7" t="inlineStr">
        <is>
          <t>50-inch to 65-inch with Netflix/YouTube access</t>
        </is>
      </c>
      <c r="D13" s="8" t="n">
        <v>1</v>
      </c>
      <c r="E13" s="9" t="n">
        <v>1920</v>
      </c>
      <c r="F13" s="9">
        <f>D13*E13</f>
        <v/>
      </c>
    </row>
    <row r="14" ht="20" customHeight="1">
      <c r="A14" s="4" t="inlineStr">
        <is>
          <t>Living &amp; Dining</t>
        </is>
      </c>
      <c r="B14" s="4" t="inlineStr">
        <is>
          <t>TV Console Table</t>
        </is>
      </c>
      <c r="C14" s="4" t="inlineStr">
        <is>
          <t>With cable management and storage slots</t>
        </is>
      </c>
      <c r="D14" s="5" t="n">
        <v>1</v>
      </c>
      <c r="E14" s="6" t="n">
        <v>350</v>
      </c>
      <c r="F14" s="6">
        <f>D14*E14</f>
        <v/>
      </c>
    </row>
    <row r="15" ht="20" customHeight="1">
      <c r="A15" s="7" t="inlineStr">
        <is>
          <t>Living &amp; Dining</t>
        </is>
      </c>
      <c r="B15" s="7" t="inlineStr">
        <is>
          <t>Dining Table</t>
        </is>
      </c>
      <c r="C15" s="7" t="inlineStr">
        <is>
          <t>Sized relative to maximum occupancy capacity</t>
        </is>
      </c>
      <c r="D15" s="8" t="n">
        <v>1</v>
      </c>
      <c r="E15" s="9" t="n">
        <v>960</v>
      </c>
      <c r="F15" s="9">
        <f>D15*E15</f>
        <v/>
      </c>
    </row>
    <row r="16" ht="20" customHeight="1">
      <c r="A16" s="4" t="inlineStr">
        <is>
          <t>Living &amp; Dining</t>
        </is>
      </c>
      <c r="B16" s="4" t="inlineStr">
        <is>
          <t>Dining Chairs</t>
        </is>
      </c>
      <c r="C16" s="4" t="inlineStr">
        <is>
          <t>Padded comfortable chairs with high backrest</t>
        </is>
      </c>
      <c r="D16" s="5" t="n">
        <v>6</v>
      </c>
      <c r="E16" s="6" t="n">
        <v>150</v>
      </c>
      <c r="F16" s="6">
        <f>D16*E16</f>
        <v/>
      </c>
    </row>
    <row r="17" ht="20" customHeight="1">
      <c r="A17" s="7" t="inlineStr">
        <is>
          <t>Living &amp; Dining</t>
        </is>
      </c>
      <c r="B17" s="7" t="inlineStr">
        <is>
          <t>High-Speed Wi-Fi Router / Mesh Node</t>
        </is>
      </c>
      <c r="C17" s="7" t="inlineStr">
        <is>
          <t>Dual-band high throughput router setup</t>
        </is>
      </c>
      <c r="D17" s="8" t="n">
        <v>2</v>
      </c>
      <c r="E17" s="9" t="n">
        <v>300</v>
      </c>
      <c r="F17" s="9">
        <f>D17*E17</f>
        <v/>
      </c>
    </row>
    <row r="18" ht="20" customHeight="1">
      <c r="A18" s="4" t="inlineStr">
        <is>
          <t>Living &amp; Dining</t>
        </is>
      </c>
      <c r="B18" s="4" t="inlineStr">
        <is>
          <t>Blackout Curtains / Blinds Set</t>
        </is>
      </c>
      <c r="C18" s="4" t="inlineStr">
        <is>
          <t>Full length window coverage for living room</t>
        </is>
      </c>
      <c r="D18" s="5" t="n">
        <v>1</v>
      </c>
      <c r="E18" s="6" t="n">
        <v>400</v>
      </c>
      <c r="F18" s="6">
        <f>D18*E18</f>
        <v/>
      </c>
    </row>
    <row r="19" ht="20" customHeight="1">
      <c r="A19" s="7" t="inlineStr">
        <is>
          <t>Living &amp; Dining</t>
        </is>
      </c>
      <c r="B19" s="7" t="inlineStr">
        <is>
          <t>Floor Lamp / Accent Lighting</t>
        </is>
      </c>
      <c r="C19" s="7" t="inlineStr">
        <is>
          <t>Warm LED lighting for ambient hotel atmosphere</t>
        </is>
      </c>
      <c r="D19" s="8" t="n">
        <v>1</v>
      </c>
      <c r="E19" s="9" t="n">
        <v>180</v>
      </c>
      <c r="F19" s="9">
        <f>D19*E19</f>
        <v/>
      </c>
    </row>
    <row r="20" ht="20" customHeight="1">
      <c r="A20" s="4" t="inlineStr">
        <is>
          <t>Bedroom Essentials</t>
        </is>
      </c>
      <c r="B20" s="4" t="inlineStr">
        <is>
          <t>King/Queen Bed Frame</t>
        </is>
      </c>
      <c r="C20" s="4" t="inlineStr">
        <is>
          <t>Solid build timber or upholstered headboard frame</t>
        </is>
      </c>
      <c r="D20" s="5" t="n">
        <v>3</v>
      </c>
      <c r="E20" s="6" t="n">
        <v>900</v>
      </c>
      <c r="F20" s="6">
        <f>D20*E20</f>
        <v/>
      </c>
    </row>
    <row r="21" ht="20" customHeight="1">
      <c r="A21" s="7" t="inlineStr">
        <is>
          <t>Bedroom Essentials</t>
        </is>
      </c>
      <c r="B21" s="7" t="inlineStr">
        <is>
          <t>Hotel Grade Orthopedic Mattress</t>
        </is>
      </c>
      <c r="C21" s="7" t="inlineStr">
        <is>
          <t>Pocket spring medium-firm, minimum 20cm thickness</t>
        </is>
      </c>
      <c r="D21" s="8" t="n">
        <v>3</v>
      </c>
      <c r="E21" s="9" t="n">
        <v>1000</v>
      </c>
      <c r="F21" s="9">
        <f>D21*E21</f>
        <v/>
      </c>
    </row>
    <row r="22" ht="20" customHeight="1">
      <c r="A22" s="4" t="inlineStr">
        <is>
          <t>Bedroom Essentials</t>
        </is>
      </c>
      <c r="B22" s="4" t="inlineStr">
        <is>
          <t>Bedside Tables</t>
        </is>
      </c>
      <c r="C22" s="4" t="inlineStr">
        <is>
          <t>Set of 2 units flanking the bed structure</t>
        </is>
      </c>
      <c r="D22" s="5" t="n">
        <v>3</v>
      </c>
      <c r="E22" s="6" t="n">
        <v>240</v>
      </c>
      <c r="F22" s="6">
        <f>D22*E22</f>
        <v/>
      </c>
    </row>
    <row r="23" ht="20" customHeight="1">
      <c r="A23" s="7" t="inlineStr">
        <is>
          <t>Bedroom Essentials</t>
        </is>
      </c>
      <c r="B23" s="7" t="inlineStr">
        <is>
          <t>Bedside Lamps with USB Ports</t>
        </is>
      </c>
      <c r="C23" s="7" t="inlineStr">
        <is>
          <t>Set of 2 lamps with integrated guest charging points</t>
        </is>
      </c>
      <c r="D23" s="8" t="n">
        <v>3</v>
      </c>
      <c r="E23" s="9" t="n">
        <v>160</v>
      </c>
      <c r="F23" s="9">
        <f>D23*E23</f>
        <v/>
      </c>
    </row>
    <row r="24" ht="20" customHeight="1">
      <c r="A24" s="4" t="inlineStr">
        <is>
          <t>Bedroom Essentials</t>
        </is>
      </c>
      <c r="B24" s="4" t="inlineStr">
        <is>
          <t>Hotel Pillows (Pack of 4)</t>
        </is>
      </c>
      <c r="C24" s="4" t="inlineStr">
        <is>
          <t>Hypoallergenic down-alternative, two firm, two soft</t>
        </is>
      </c>
      <c r="D24" s="5" t="n">
        <v>3</v>
      </c>
      <c r="E24" s="6" t="n">
        <v>120</v>
      </c>
      <c r="F24" s="6">
        <f>D24*E24</f>
        <v/>
      </c>
    </row>
    <row r="25" ht="20" customHeight="1">
      <c r="A25" s="7" t="inlineStr">
        <is>
          <t>Bedroom Essentials</t>
        </is>
      </c>
      <c r="B25" s="7" t="inlineStr">
        <is>
          <t>All-Season Duvet &amp; Protector</t>
        </is>
      </c>
      <c r="C25" s="7" t="inlineStr">
        <is>
          <t>Microfiber filling with waterproof quilted mattress cover</t>
        </is>
      </c>
      <c r="D25" s="8" t="n">
        <v>3</v>
      </c>
      <c r="E25" s="9" t="n">
        <v>180</v>
      </c>
      <c r="F25" s="9">
        <f>D25*E25</f>
        <v/>
      </c>
    </row>
    <row r="26" ht="20" customHeight="1">
      <c r="A26" s="4" t="inlineStr">
        <is>
          <t>Bedroom Essentials</t>
        </is>
      </c>
      <c r="B26" s="4" t="inlineStr">
        <is>
          <t>Premium White Linen Set (2 Full Changes)</t>
        </is>
      </c>
      <c r="C26" s="4" t="inlineStr">
        <is>
          <t>200+ Thread Count: 2x Fitted sheets, 2x Duvet covers, 8x Pillowcases</t>
        </is>
      </c>
      <c r="D26" s="5" t="n">
        <v>3</v>
      </c>
      <c r="E26" s="6" t="n">
        <v>350</v>
      </c>
      <c r="F26" s="6">
        <f>D26*E26</f>
        <v/>
      </c>
    </row>
    <row r="27" ht="20" customHeight="1">
      <c r="A27" s="7" t="inlineStr">
        <is>
          <t>Bedroom Essentials</t>
        </is>
      </c>
      <c r="B27" s="7" t="inlineStr">
        <is>
          <t>Wardrobe Hangers Pack</t>
        </is>
      </c>
      <c r="C27" s="7" t="inlineStr">
        <is>
          <t>Set of 20 high-quality wooden/rubberized anti-slip hangers</t>
        </is>
      </c>
      <c r="D27" s="8" t="n">
        <v>3</v>
      </c>
      <c r="E27" s="9" t="n">
        <v>40</v>
      </c>
      <c r="F27" s="9">
        <f>D27*E27</f>
        <v/>
      </c>
    </row>
    <row r="28" ht="20" customHeight="1">
      <c r="A28" s="4" t="inlineStr">
        <is>
          <t>Bedroom Essentials</t>
        </is>
      </c>
      <c r="B28" s="4" t="inlineStr">
        <is>
          <t>Full-Length Dresser Mirror</t>
        </is>
      </c>
      <c r="C28" s="4" t="inlineStr">
        <is>
          <t>Wall-mounted or freestanding structural panel mirror</t>
        </is>
      </c>
      <c r="D28" s="5" t="n">
        <v>3</v>
      </c>
      <c r="E28" s="6" t="n">
        <v>150</v>
      </c>
      <c r="F28" s="6">
        <f>D28*E28</f>
        <v/>
      </c>
    </row>
    <row r="29" ht="20" customHeight="1">
      <c r="A29" s="7" t="inlineStr">
        <is>
          <t>Bedroom Essentials</t>
        </is>
      </c>
      <c r="B29" s="7" t="inlineStr">
        <is>
          <t>Bedroom Blackout Curtains Set</t>
        </is>
      </c>
      <c r="C29" s="7" t="inlineStr">
        <is>
          <t>Strict thermal/light blockage for guest sleep comfort</t>
        </is>
      </c>
      <c r="D29" s="8" t="n">
        <v>3</v>
      </c>
      <c r="E29" s="9" t="n">
        <v>350</v>
      </c>
      <c r="F29" s="9">
        <f>D29*E29</f>
        <v/>
      </c>
    </row>
    <row r="30" ht="20" customHeight="1">
      <c r="A30" s="4" t="inlineStr">
        <is>
          <t>Kitchen &amp; Appliances</t>
        </is>
      </c>
      <c r="B30" s="4" t="inlineStr">
        <is>
          <t>Refrigerator &amp; Freezer Combo</t>
        </is>
      </c>
      <c r="C30" s="4" t="inlineStr">
        <is>
          <t>No-frost, minimum 300L energy efficient double door</t>
        </is>
      </c>
      <c r="D30" s="5" t="n">
        <v>1</v>
      </c>
      <c r="E30" s="6" t="n">
        <v>1400</v>
      </c>
      <c r="F30" s="6">
        <f>D30*E30</f>
        <v/>
      </c>
    </row>
    <row r="31" ht="20" customHeight="1">
      <c r="A31" s="7" t="inlineStr">
        <is>
          <t>Kitchen &amp; Appliances</t>
        </is>
      </c>
      <c r="B31" s="7" t="inlineStr">
        <is>
          <t>Gas/Electric Cooker &amp; Oven</t>
        </is>
      </c>
      <c r="C31" s="7" t="inlineStr">
        <is>
          <t>4-burner integrated unit with safety gas-cutoff mechanism</t>
        </is>
      </c>
      <c r="D31" s="8" t="n">
        <v>1</v>
      </c>
      <c r="E31" s="9" t="n">
        <v>1200</v>
      </c>
      <c r="F31" s="9">
        <f>D31*E31</f>
        <v/>
      </c>
    </row>
    <row r="32" ht="20" customHeight="1">
      <c r="A32" s="4" t="inlineStr">
        <is>
          <t>Kitchen &amp; Appliances</t>
        </is>
      </c>
      <c r="B32" s="4" t="inlineStr">
        <is>
          <t>Microwave Oven</t>
        </is>
      </c>
      <c r="C32" s="4" t="inlineStr">
        <is>
          <t>Digital control interface, 20L minimum volume capacity</t>
        </is>
      </c>
      <c r="D32" s="5" t="n">
        <v>1</v>
      </c>
      <c r="E32" s="6" t="n">
        <v>250</v>
      </c>
      <c r="F32" s="6">
        <f>D32*E32</f>
        <v/>
      </c>
    </row>
    <row r="33" ht="20" customHeight="1">
      <c r="A33" s="7" t="inlineStr">
        <is>
          <t>Kitchen &amp; Appliances</t>
        </is>
      </c>
      <c r="B33" s="7" t="inlineStr">
        <is>
          <t>Electric Water Kettle</t>
        </is>
      </c>
      <c r="C33" s="7" t="inlineStr">
        <is>
          <t>Stainless steel automatic auto-shutoff 1.7L boiler</t>
        </is>
      </c>
      <c r="D33" s="8" t="n">
        <v>1</v>
      </c>
      <c r="E33" s="9" t="n">
        <v>80</v>
      </c>
      <c r="F33" s="9">
        <f>D33*E33</f>
        <v/>
      </c>
    </row>
    <row r="34" ht="20" customHeight="1">
      <c r="A34" s="4" t="inlineStr">
        <is>
          <t>Kitchen &amp; Appliances</t>
        </is>
      </c>
      <c r="B34" s="4" t="inlineStr">
        <is>
          <t>2-Slot Bread Toaster</t>
        </is>
      </c>
      <c r="C34" s="4" t="inlineStr">
        <is>
          <t>Variable browning control settings interface</t>
        </is>
      </c>
      <c r="D34" s="5" t="n">
        <v>1</v>
      </c>
      <c r="E34" s="6" t="n">
        <v>90</v>
      </c>
      <c r="F34" s="6">
        <f>D34*E34</f>
        <v/>
      </c>
    </row>
    <row r="35" ht="20" customHeight="1">
      <c r="A35" s="7" t="inlineStr">
        <is>
          <t>Kitchen &amp; Appliances</t>
        </is>
      </c>
      <c r="B35" s="7" t="inlineStr">
        <is>
          <t>Nespresso Capsule Coffee Machine</t>
        </is>
      </c>
      <c r="C35" s="7" t="inlineStr">
        <is>
          <t>Espresso pod maker for premium welcome tier rating</t>
        </is>
      </c>
      <c r="D35" s="8" t="n">
        <v>1</v>
      </c>
      <c r="E35" s="9" t="n">
        <v>450</v>
      </c>
      <c r="F35" s="9">
        <f>D35*E35</f>
        <v/>
      </c>
    </row>
    <row r="36" ht="20" customHeight="1">
      <c r="A36" s="4" t="inlineStr">
        <is>
          <t>Kitchen &amp; Appliances</t>
        </is>
      </c>
      <c r="B36" s="4" t="inlineStr">
        <is>
          <t>Washing Machine &amp; Dryer Combo</t>
        </is>
      </c>
      <c r="C36" s="4" t="inlineStr">
        <is>
          <t>Front load 7kg/5kg wash-and-dry automated cycles</t>
        </is>
      </c>
      <c r="D36" s="5" t="n">
        <v>1</v>
      </c>
      <c r="E36" s="6" t="n">
        <v>1600</v>
      </c>
      <c r="F36" s="6">
        <f>D36*E36</f>
        <v/>
      </c>
    </row>
    <row r="37" ht="20" customHeight="1">
      <c r="A37" s="7" t="inlineStr">
        <is>
          <t>Kitchen &amp; Appliances</t>
        </is>
      </c>
      <c r="B37" s="7" t="inlineStr">
        <is>
          <t>Non-Stick Cookware Set</t>
        </is>
      </c>
      <c r="C37" s="7" t="inlineStr">
        <is>
          <t>2 Frying pans, 2 Casserole pots with glass lids, 1 wok</t>
        </is>
      </c>
      <c r="D37" s="8" t="n">
        <v>1</v>
      </c>
      <c r="E37" s="9" t="n">
        <v>280</v>
      </c>
      <c r="F37" s="9">
        <f>D37*E37</f>
        <v/>
      </c>
    </row>
    <row r="38" ht="20" customHeight="1">
      <c r="A38" s="4" t="inlineStr">
        <is>
          <t>Kitchen &amp; Appliances</t>
        </is>
      </c>
      <c r="B38" s="4" t="inlineStr">
        <is>
          <t>Chef Knife &amp; Cutting Board Set</t>
        </is>
      </c>
      <c r="C38" s="4" t="inlineStr">
        <is>
          <t>Stainless steel knife bundle + multi-color hygienic boards</t>
        </is>
      </c>
      <c r="D38" s="5" t="n">
        <v>1</v>
      </c>
      <c r="E38" s="6" t="n">
        <v>120</v>
      </c>
      <c r="F38" s="6">
        <f>D38*E38</f>
        <v/>
      </c>
    </row>
    <row r="39" ht="20" customHeight="1">
      <c r="A39" s="7" t="inlineStr">
        <is>
          <t>Kitchen &amp; Appliances</t>
        </is>
      </c>
      <c r="B39" s="7" t="inlineStr">
        <is>
          <t>Dinnerware Sets (Plates &amp; Bowls)</t>
        </is>
      </c>
      <c r="C39" s="7" t="inlineStr">
        <is>
          <t>Corelle or ceramic chip-resistant sets (scaled to max capacity)</t>
        </is>
      </c>
      <c r="D39" s="8" t="n">
        <v>1</v>
      </c>
      <c r="E39" s="9" t="n">
        <v>240</v>
      </c>
      <c r="F39" s="9">
        <f>D39*E39</f>
        <v/>
      </c>
    </row>
    <row r="40" ht="20" customHeight="1">
      <c r="A40" s="4" t="inlineStr">
        <is>
          <t>Kitchen &amp; Appliances</t>
        </is>
      </c>
      <c r="B40" s="4" t="inlineStr">
        <is>
          <t>Glassware Set (Water &amp; Wine)</t>
        </is>
      </c>
      <c r="C40" s="4" t="inlineStr">
        <is>
          <t>High transparency tempered lead-free glassware items</t>
        </is>
      </c>
      <c r="D40" s="5" t="n">
        <v>1</v>
      </c>
      <c r="E40" s="6" t="n">
        <v>160</v>
      </c>
      <c r="F40" s="6">
        <f>D40*E40</f>
        <v/>
      </c>
    </row>
    <row r="41" ht="20" customHeight="1">
      <c r="A41" s="7" t="inlineStr">
        <is>
          <t>Kitchen &amp; Appliances</t>
        </is>
      </c>
      <c r="B41" s="7" t="inlineStr">
        <is>
          <t>Stainless Steel Cutlery Set</t>
        </is>
      </c>
      <c r="C41" s="7" t="inlineStr">
        <is>
          <t>Forks, knives, tablespoons, teaspoons boxed package</t>
        </is>
      </c>
      <c r="D41" s="8" t="n">
        <v>1</v>
      </c>
      <c r="E41" s="9" t="n">
        <v>180</v>
      </c>
      <c r="F41" s="9">
        <f>D41*E41</f>
        <v/>
      </c>
    </row>
    <row r="42" ht="20" customHeight="1">
      <c r="A42" s="4" t="inlineStr">
        <is>
          <t>Kitchen &amp; Appliances</t>
        </is>
      </c>
      <c r="B42" s="4" t="inlineStr">
        <is>
          <t>Kitchen Trash Can &amp; Tool Set</t>
        </is>
      </c>
      <c r="C42" s="4" t="inlineStr">
        <is>
          <t>Step-on airtight pedal bin, can opener, ladles, corkscrew</t>
        </is>
      </c>
      <c r="D42" s="5" t="n">
        <v>1</v>
      </c>
      <c r="E42" s="6" t="n">
        <v>140</v>
      </c>
      <c r="F42" s="6">
        <f>D42*E42</f>
        <v/>
      </c>
    </row>
    <row r="43" ht="20" customHeight="1">
      <c r="A43" s="7" t="inlineStr">
        <is>
          <t>Bathroom Amenities</t>
        </is>
      </c>
      <c r="B43" s="7" t="inlineStr">
        <is>
          <t>Premium Towels Set (2 Changes)</t>
        </is>
      </c>
      <c r="C43" s="7" t="inlineStr">
        <is>
          <t>100% Cotton 600GSM: Bath, Hand, Face towels per occupant</t>
        </is>
      </c>
      <c r="D43" s="8" t="n">
        <v>6</v>
      </c>
      <c r="E43" s="9" t="n">
        <v>90</v>
      </c>
      <c r="F43" s="9">
        <f>D43*E43</f>
        <v/>
      </c>
    </row>
    <row r="44" ht="20" customHeight="1">
      <c r="A44" s="4" t="inlineStr">
        <is>
          <t>Bathroom Amenities</t>
        </is>
      </c>
      <c r="B44" s="4" t="inlineStr">
        <is>
          <t>Ionic Hairdryer</t>
        </is>
      </c>
      <c r="C44" s="4" t="inlineStr">
        <is>
          <t>Wall-mount or storage bracket type 1800W+ capacity</t>
        </is>
      </c>
      <c r="D44" s="5" t="n">
        <v>4</v>
      </c>
      <c r="E44" s="6" t="n">
        <v>110</v>
      </c>
      <c r="F44" s="6">
        <f>D44*E44</f>
        <v/>
      </c>
    </row>
    <row r="45" ht="20" customHeight="1">
      <c r="A45" s="7" t="inlineStr">
        <is>
          <t>Bathroom Amenities</t>
        </is>
      </c>
      <c r="B45" s="7" t="inlineStr">
        <is>
          <t>Pedal Waste Bin &amp; Toilet Brush Set</t>
        </is>
      </c>
      <c r="C45" s="7" t="inlineStr">
        <is>
          <t>Stainless steel rust-free bathroom functional accessory</t>
        </is>
      </c>
      <c r="D45" s="8" t="n">
        <v>4</v>
      </c>
      <c r="E45" s="9" t="n">
        <v>70</v>
      </c>
      <c r="F45" s="9">
        <f>D45*E45</f>
        <v/>
      </c>
    </row>
    <row r="46" ht="20" customHeight="1">
      <c r="A46" s="4" t="inlineStr">
        <is>
          <t>Bathroom Amenities</t>
        </is>
      </c>
      <c r="B46" s="4" t="inlineStr">
        <is>
          <t>Non-Slip Shower Mat &amp; Floor Towel</t>
        </is>
      </c>
      <c r="C46" s="4" t="inlineStr">
        <is>
          <t>Rubberized anti-skid backing for liability compliance</t>
        </is>
      </c>
      <c r="D46" s="5" t="n">
        <v>4</v>
      </c>
      <c r="E46" s="6" t="n">
        <v>50</v>
      </c>
      <c r="F46" s="6">
        <f>D46*E46</f>
        <v/>
      </c>
    </row>
    <row r="47" ht="20" customHeight="1">
      <c r="A47" s="7" t="inlineStr">
        <is>
          <t>Utilities &amp; Upkeep</t>
        </is>
      </c>
      <c r="B47" s="7" t="inlineStr">
        <is>
          <t>Vacuum Cleaner (Bagless)</t>
        </is>
      </c>
      <c r="C47" s="7" t="inlineStr">
        <is>
          <t>High suction multi-surface cyclical motor assembly</t>
        </is>
      </c>
      <c r="D47" s="8" t="n">
        <v>1</v>
      </c>
      <c r="E47" s="9" t="n">
        <v>350</v>
      </c>
      <c r="F47" s="9">
        <f>D47*E47</f>
        <v/>
      </c>
    </row>
    <row r="48" ht="20" customHeight="1">
      <c r="A48" s="4" t="inlineStr">
        <is>
          <t>Utilities &amp; Upkeep</t>
        </is>
      </c>
      <c r="B48" s="4" t="inlineStr">
        <is>
          <t>Ironing Board &amp; Steam Iron Set</t>
        </is>
      </c>
      <c r="C48" s="4" t="inlineStr">
        <is>
          <t>Foldable padded heavy duty board + vertical steam generator</t>
        </is>
      </c>
      <c r="D48" s="5" t="n">
        <v>1</v>
      </c>
      <c r="E48" s="6" t="n">
        <v>220</v>
      </c>
      <c r="F48" s="6">
        <f>D48*E48</f>
        <v/>
      </c>
    </row>
    <row r="49" ht="20" customHeight="1">
      <c r="A49" s="7" t="inlineStr">
        <is>
          <t>Utilities &amp; Upkeep</t>
        </is>
      </c>
      <c r="B49" s="7" t="inlineStr">
        <is>
          <t>Cloth Drying Rack</t>
        </is>
      </c>
      <c r="C49" s="7" t="inlineStr">
        <is>
          <t>Collapsible wing rack for balcony layout setting</t>
        </is>
      </c>
      <c r="D49" s="8" t="n">
        <v>1</v>
      </c>
      <c r="E49" s="9" t="n">
        <v>95</v>
      </c>
      <c r="F49" s="9">
        <f>D49*E49</f>
        <v/>
      </c>
    </row>
    <row r="50" ht="20" customHeight="1">
      <c r="A50" s="4" t="inlineStr">
        <is>
          <t>Utilities &amp; Upkeep</t>
        </is>
      </c>
      <c r="B50" s="4" t="inlineStr">
        <is>
          <t>Mop, Broom &amp; Cleaning Supply Bundle</t>
        </is>
      </c>
      <c r="C50" s="4" t="inlineStr">
        <is>
          <t>Microfiber floor mop, soft bristles, starter cleaning fluids</t>
        </is>
      </c>
      <c r="D50" s="5" t="n">
        <v>1</v>
      </c>
      <c r="E50" s="6" t="n">
        <v>110</v>
      </c>
      <c r="F50" s="6">
        <f>D50*E50</f>
        <v/>
      </c>
    </row>
    <row r="51" ht="20" customHeight="1">
      <c r="A51" s="7" t="inlineStr">
        <is>
          <t>Utilities &amp; Upkeep</t>
        </is>
      </c>
      <c r="B51" s="7" t="inlineStr">
        <is>
          <t>Islamic Prayer Mat</t>
        </is>
      </c>
      <c r="C51" s="7" t="inlineStr">
        <is>
          <t>Standard clean textile layout (Required by DET checklist regulations)</t>
        </is>
      </c>
      <c r="D51" s="8" t="n">
        <v>3</v>
      </c>
      <c r="E51" s="9" t="n">
        <v>35</v>
      </c>
      <c r="F51" s="9">
        <f>D51*E51</f>
        <v/>
      </c>
    </row>
    <row r="52" ht="24" customHeight="1">
      <c r="A52" s="10" t="inlineStr">
        <is>
          <t>Total Estimated Setup Cost</t>
        </is>
      </c>
      <c r="B52" s="11" t="n"/>
      <c r="C52" s="11" t="n"/>
      <c r="D52" s="11" t="n"/>
      <c r="E52" s="11" t="n"/>
      <c r="F52" s="12">
        <f>SUM(F4:F51)</f>
        <v/>
      </c>
    </row>
  </sheetData>
  <mergeCells count="2">
    <mergeCell ref="A52:E5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72" customWidth="1" min="3" max="3"/>
    <col width="12" customWidth="1" min="4" max="4"/>
    <col width="26" customWidth="1" min="5" max="5"/>
    <col width="19" customWidth="1" min="6" max="6"/>
  </cols>
  <sheetData>
    <row r="1" ht="40" customHeight="1">
      <c r="A1" s="1" t="inlineStr">
        <is>
          <t>DET Dubai Holiday Home Compliance Inventory Checklist — 4BR Unit</t>
        </is>
      </c>
    </row>
    <row r="2"/>
    <row r="3" ht="28" customHeight="1">
      <c r="A3" s="2" t="inlineStr">
        <is>
          <t>Category</t>
        </is>
      </c>
      <c r="B3" s="2" t="inlineStr">
        <is>
          <t>Item Name</t>
        </is>
      </c>
      <c r="C3" s="2" t="inlineStr">
        <is>
          <t>DET Required Specification</t>
        </is>
      </c>
      <c r="D3" s="3" t="inlineStr">
        <is>
          <t>Quantity</t>
        </is>
      </c>
      <c r="E3" s="3" t="inlineStr">
        <is>
          <t>Approx Unit Price (AED)</t>
        </is>
      </c>
      <c r="F3" s="3" t="inlineStr">
        <is>
          <t>Total Cost (AED)</t>
        </is>
      </c>
    </row>
    <row r="4" ht="20" customHeight="1">
      <c r="A4" s="4" t="inlineStr">
        <is>
          <t>Compliance &amp; Safety</t>
        </is>
      </c>
      <c r="B4" s="4" t="inlineStr">
        <is>
          <t>SIRA-Approved Smart Lock</t>
        </is>
      </c>
      <c r="C4" s="4" t="inlineStr">
        <is>
          <t>Connected to Keyless/DET portal system</t>
        </is>
      </c>
      <c r="D4" s="5" t="n">
        <v>1</v>
      </c>
      <c r="E4" s="6" t="n">
        <v>800</v>
      </c>
      <c r="F4" s="6">
        <f>D4*E4</f>
        <v/>
      </c>
    </row>
    <row r="5" ht="20" customHeight="1">
      <c r="A5" s="7" t="inlineStr">
        <is>
          <t>Compliance &amp; Safety</t>
        </is>
      </c>
      <c r="B5" s="7" t="inlineStr">
        <is>
          <t>Fire Extinguisher (4.5kg Powder)</t>
        </is>
      </c>
      <c r="C5" s="7" t="inlineStr">
        <is>
          <t>Certified, tag valid for 1 year, kitchen area</t>
        </is>
      </c>
      <c r="D5" s="8" t="n">
        <v>1</v>
      </c>
      <c r="E5" s="9" t="n">
        <v>150</v>
      </c>
      <c r="F5" s="9">
        <f>D5*E5</f>
        <v/>
      </c>
    </row>
    <row r="6" ht="20" customHeight="1">
      <c r="A6" s="4" t="inlineStr">
        <is>
          <t>Compliance &amp; Safety</t>
        </is>
      </c>
      <c r="B6" s="4" t="inlineStr">
        <is>
          <t>Fire Blanket</t>
        </is>
      </c>
      <c r="C6" s="4" t="inlineStr">
        <is>
          <t>Quick-release fiberglass blanket for kitchen</t>
        </is>
      </c>
      <c r="D6" s="5" t="n">
        <v>1</v>
      </c>
      <c r="E6" s="6" t="n">
        <v>45</v>
      </c>
      <c r="F6" s="6">
        <f>D6*E6</f>
        <v/>
      </c>
    </row>
    <row r="7" ht="20" customHeight="1">
      <c r="A7" s="7" t="inlineStr">
        <is>
          <t>Compliance &amp; Safety</t>
        </is>
      </c>
      <c r="B7" s="7" t="inlineStr">
        <is>
          <t>First Aid Kit</t>
        </is>
      </c>
      <c r="C7" s="7" t="inlineStr">
        <is>
          <t>Fully stocked as per Dubai Health Authority standards</t>
        </is>
      </c>
      <c r="D7" s="8" t="n">
        <v>1</v>
      </c>
      <c r="E7" s="9" t="n">
        <v>65</v>
      </c>
      <c r="F7" s="9">
        <f>D7*E7</f>
        <v/>
      </c>
    </row>
    <row r="8" ht="20" customHeight="1">
      <c r="A8" s="4" t="inlineStr">
        <is>
          <t>Compliance &amp; Safety</t>
        </is>
      </c>
      <c r="B8" s="4" t="inlineStr">
        <is>
          <t>DET QR Code &amp; Evacuation Plan Framed</t>
        </is>
      </c>
      <c r="C8" s="4" t="inlineStr">
        <is>
          <t>Mounted below DEWA plaque / inside door</t>
        </is>
      </c>
      <c r="D8" s="5" t="n">
        <v>1</v>
      </c>
      <c r="E8" s="6" t="n">
        <v>50</v>
      </c>
      <c r="F8" s="6">
        <f>D8*E8</f>
        <v/>
      </c>
    </row>
    <row r="9" ht="20" customHeight="1">
      <c r="A9" s="7" t="inlineStr">
        <is>
          <t>Compliance &amp; Safety</t>
        </is>
      </c>
      <c r="B9" s="7" t="inlineStr">
        <is>
          <t>Digital Safe Box</t>
        </is>
      </c>
      <c r="C9" s="7" t="inlineStr">
        <is>
          <t>Electronic lock, anchored inside wardrobe</t>
        </is>
      </c>
      <c r="D9" s="8" t="n">
        <v>4</v>
      </c>
      <c r="E9" s="9" t="n">
        <v>180</v>
      </c>
      <c r="F9" s="9">
        <f>D9*E9</f>
        <v/>
      </c>
    </row>
    <row r="10" ht="20" customHeight="1">
      <c r="A10" s="4" t="inlineStr">
        <is>
          <t>Compliance &amp; Safety</t>
        </is>
      </c>
      <c r="B10" s="4" t="inlineStr">
        <is>
          <t>Smoke Detectors (Standalone / Interlinked)</t>
        </is>
      </c>
      <c r="C10" s="4" t="inlineStr">
        <is>
          <t>Battery backup (if not building central)</t>
        </is>
      </c>
      <c r="D10" s="5" t="n">
        <v>5</v>
      </c>
      <c r="E10" s="6" t="n">
        <v>80</v>
      </c>
      <c r="F10" s="6">
        <f>D10*E10</f>
        <v/>
      </c>
    </row>
    <row r="11" ht="20" customHeight="1">
      <c r="A11" s="7" t="inlineStr">
        <is>
          <t>Living &amp; Dining</t>
        </is>
      </c>
      <c r="B11" s="7" t="inlineStr">
        <is>
          <t>Sofa / Sofa Bed</t>
        </is>
      </c>
      <c r="C11" s="7" t="inlineStr">
        <is>
          <t>3-seater durable upholstery (L-shape or standard)</t>
        </is>
      </c>
      <c r="D11" s="8" t="n">
        <v>1</v>
      </c>
      <c r="E11" s="9" t="n">
        <v>3600</v>
      </c>
      <c r="F11" s="9">
        <f>D11*E11</f>
        <v/>
      </c>
    </row>
    <row r="12" ht="20" customHeight="1">
      <c r="A12" s="4" t="inlineStr">
        <is>
          <t>Living &amp; Dining</t>
        </is>
      </c>
      <c r="B12" s="4" t="inlineStr">
        <is>
          <t>Coffee Table</t>
        </is>
      </c>
      <c r="C12" s="4" t="inlineStr">
        <is>
          <t>Tempered glass or solid laminate wood</t>
        </is>
      </c>
      <c r="D12" s="5" t="n">
        <v>1</v>
      </c>
      <c r="E12" s="6" t="n">
        <v>250</v>
      </c>
      <c r="F12" s="6">
        <f>D12*E12</f>
        <v/>
      </c>
    </row>
    <row r="13" ht="20" customHeight="1">
      <c r="A13" s="7" t="inlineStr">
        <is>
          <t>Living &amp; Dining</t>
        </is>
      </c>
      <c r="B13" s="7" t="inlineStr">
        <is>
          <t>Smart TV (4K UHD)</t>
        </is>
      </c>
      <c r="C13" s="7" t="inlineStr">
        <is>
          <t>50-inch to 65-inch with Netflix/YouTube access</t>
        </is>
      </c>
      <c r="D13" s="8" t="n">
        <v>1</v>
      </c>
      <c r="E13" s="9" t="n">
        <v>2400</v>
      </c>
      <c r="F13" s="9">
        <f>D13*E13</f>
        <v/>
      </c>
    </row>
    <row r="14" ht="20" customHeight="1">
      <c r="A14" s="4" t="inlineStr">
        <is>
          <t>Living &amp; Dining</t>
        </is>
      </c>
      <c r="B14" s="4" t="inlineStr">
        <is>
          <t>TV Console Table</t>
        </is>
      </c>
      <c r="C14" s="4" t="inlineStr">
        <is>
          <t>With cable management and storage slots</t>
        </is>
      </c>
      <c r="D14" s="5" t="n">
        <v>1</v>
      </c>
      <c r="E14" s="6" t="n">
        <v>350</v>
      </c>
      <c r="F14" s="6">
        <f>D14*E14</f>
        <v/>
      </c>
    </row>
    <row r="15" ht="20" customHeight="1">
      <c r="A15" s="7" t="inlineStr">
        <is>
          <t>Living &amp; Dining</t>
        </is>
      </c>
      <c r="B15" s="7" t="inlineStr">
        <is>
          <t>Dining Table</t>
        </is>
      </c>
      <c r="C15" s="7" t="inlineStr">
        <is>
          <t>Sized relative to maximum occupancy capacity</t>
        </is>
      </c>
      <c r="D15" s="8" t="n">
        <v>1</v>
      </c>
      <c r="E15" s="9" t="n">
        <v>1200</v>
      </c>
      <c r="F15" s="9">
        <f>D15*E15</f>
        <v/>
      </c>
    </row>
    <row r="16" ht="20" customHeight="1">
      <c r="A16" s="4" t="inlineStr">
        <is>
          <t>Living &amp; Dining</t>
        </is>
      </c>
      <c r="B16" s="4" t="inlineStr">
        <is>
          <t>Dining Chairs</t>
        </is>
      </c>
      <c r="C16" s="4" t="inlineStr">
        <is>
          <t>Padded comfortable chairs with high backrest</t>
        </is>
      </c>
      <c r="D16" s="5" t="n">
        <v>8</v>
      </c>
      <c r="E16" s="6" t="n">
        <v>150</v>
      </c>
      <c r="F16" s="6">
        <f>D16*E16</f>
        <v/>
      </c>
    </row>
    <row r="17" ht="20" customHeight="1">
      <c r="A17" s="7" t="inlineStr">
        <is>
          <t>Living &amp; Dining</t>
        </is>
      </c>
      <c r="B17" s="7" t="inlineStr">
        <is>
          <t>High-Speed Wi-Fi Router / Mesh Node</t>
        </is>
      </c>
      <c r="C17" s="7" t="inlineStr">
        <is>
          <t>Dual-band high throughput router setup</t>
        </is>
      </c>
      <c r="D17" s="8" t="n">
        <v>2</v>
      </c>
      <c r="E17" s="9" t="n">
        <v>300</v>
      </c>
      <c r="F17" s="9">
        <f>D17*E17</f>
        <v/>
      </c>
    </row>
    <row r="18" ht="20" customHeight="1">
      <c r="A18" s="4" t="inlineStr">
        <is>
          <t>Living &amp; Dining</t>
        </is>
      </c>
      <c r="B18" s="4" t="inlineStr">
        <is>
          <t>Blackout Curtains / Blinds Set</t>
        </is>
      </c>
      <c r="C18" s="4" t="inlineStr">
        <is>
          <t>Full length window coverage for living room</t>
        </is>
      </c>
      <c r="D18" s="5" t="n">
        <v>1</v>
      </c>
      <c r="E18" s="6" t="n">
        <v>400</v>
      </c>
      <c r="F18" s="6">
        <f>D18*E18</f>
        <v/>
      </c>
    </row>
    <row r="19" ht="20" customHeight="1">
      <c r="A19" s="7" t="inlineStr">
        <is>
          <t>Living &amp; Dining</t>
        </is>
      </c>
      <c r="B19" s="7" t="inlineStr">
        <is>
          <t>Floor Lamp / Accent Lighting</t>
        </is>
      </c>
      <c r="C19" s="7" t="inlineStr">
        <is>
          <t>Warm LED lighting for ambient hotel atmosphere</t>
        </is>
      </c>
      <c r="D19" s="8" t="n">
        <v>1</v>
      </c>
      <c r="E19" s="9" t="n">
        <v>180</v>
      </c>
      <c r="F19" s="9">
        <f>D19*E19</f>
        <v/>
      </c>
    </row>
    <row r="20" ht="20" customHeight="1">
      <c r="A20" s="4" t="inlineStr">
        <is>
          <t>Bedroom Essentials</t>
        </is>
      </c>
      <c r="B20" s="4" t="inlineStr">
        <is>
          <t>King/Queen Bed Frame</t>
        </is>
      </c>
      <c r="C20" s="4" t="inlineStr">
        <is>
          <t>Solid build timber or upholstered headboard frame</t>
        </is>
      </c>
      <c r="D20" s="5" t="n">
        <v>4</v>
      </c>
      <c r="E20" s="6" t="n">
        <v>900</v>
      </c>
      <c r="F20" s="6">
        <f>D20*E20</f>
        <v/>
      </c>
    </row>
    <row r="21" ht="20" customHeight="1">
      <c r="A21" s="7" t="inlineStr">
        <is>
          <t>Bedroom Essentials</t>
        </is>
      </c>
      <c r="B21" s="7" t="inlineStr">
        <is>
          <t>Hotel Grade Orthopedic Mattress</t>
        </is>
      </c>
      <c r="C21" s="7" t="inlineStr">
        <is>
          <t>Pocket spring medium-firm, minimum 20cm thickness</t>
        </is>
      </c>
      <c r="D21" s="8" t="n">
        <v>4</v>
      </c>
      <c r="E21" s="9" t="n">
        <v>1000</v>
      </c>
      <c r="F21" s="9">
        <f>D21*E21</f>
        <v/>
      </c>
    </row>
    <row r="22" ht="20" customHeight="1">
      <c r="A22" s="4" t="inlineStr">
        <is>
          <t>Bedroom Essentials</t>
        </is>
      </c>
      <c r="B22" s="4" t="inlineStr">
        <is>
          <t>Bedside Tables</t>
        </is>
      </c>
      <c r="C22" s="4" t="inlineStr">
        <is>
          <t>Set of 2 units flanking the bed structure</t>
        </is>
      </c>
      <c r="D22" s="5" t="n">
        <v>4</v>
      </c>
      <c r="E22" s="6" t="n">
        <v>240</v>
      </c>
      <c r="F22" s="6">
        <f>D22*E22</f>
        <v/>
      </c>
    </row>
    <row r="23" ht="20" customHeight="1">
      <c r="A23" s="7" t="inlineStr">
        <is>
          <t>Bedroom Essentials</t>
        </is>
      </c>
      <c r="B23" s="7" t="inlineStr">
        <is>
          <t>Bedside Lamps with USB Ports</t>
        </is>
      </c>
      <c r="C23" s="7" t="inlineStr">
        <is>
          <t>Set of 2 lamps with integrated guest charging points</t>
        </is>
      </c>
      <c r="D23" s="8" t="n">
        <v>4</v>
      </c>
      <c r="E23" s="9" t="n">
        <v>160</v>
      </c>
      <c r="F23" s="9">
        <f>D23*E23</f>
        <v/>
      </c>
    </row>
    <row r="24" ht="20" customHeight="1">
      <c r="A24" s="4" t="inlineStr">
        <is>
          <t>Bedroom Essentials</t>
        </is>
      </c>
      <c r="B24" s="4" t="inlineStr">
        <is>
          <t>Hotel Pillows (Pack of 4)</t>
        </is>
      </c>
      <c r="C24" s="4" t="inlineStr">
        <is>
          <t>Hypoallergenic down-alternative, two firm, two soft</t>
        </is>
      </c>
      <c r="D24" s="5" t="n">
        <v>4</v>
      </c>
      <c r="E24" s="6" t="n">
        <v>120</v>
      </c>
      <c r="F24" s="6">
        <f>D24*E24</f>
        <v/>
      </c>
    </row>
    <row r="25" ht="20" customHeight="1">
      <c r="A25" s="7" t="inlineStr">
        <is>
          <t>Bedroom Essentials</t>
        </is>
      </c>
      <c r="B25" s="7" t="inlineStr">
        <is>
          <t>All-Season Duvet &amp; Protector</t>
        </is>
      </c>
      <c r="C25" s="7" t="inlineStr">
        <is>
          <t>Microfiber filling with waterproof quilted mattress cover</t>
        </is>
      </c>
      <c r="D25" s="8" t="n">
        <v>4</v>
      </c>
      <c r="E25" s="9" t="n">
        <v>180</v>
      </c>
      <c r="F25" s="9">
        <f>D25*E25</f>
        <v/>
      </c>
    </row>
    <row r="26" ht="20" customHeight="1">
      <c r="A26" s="4" t="inlineStr">
        <is>
          <t>Bedroom Essentials</t>
        </is>
      </c>
      <c r="B26" s="4" t="inlineStr">
        <is>
          <t>Premium White Linen Set (2 Full Changes)</t>
        </is>
      </c>
      <c r="C26" s="4" t="inlineStr">
        <is>
          <t>200+ Thread Count: 2x Fitted sheets, 2x Duvet covers, 8x Pillowcases</t>
        </is>
      </c>
      <c r="D26" s="5" t="n">
        <v>4</v>
      </c>
      <c r="E26" s="6" t="n">
        <v>350</v>
      </c>
      <c r="F26" s="6">
        <f>D26*E26</f>
        <v/>
      </c>
    </row>
    <row r="27" ht="20" customHeight="1">
      <c r="A27" s="7" t="inlineStr">
        <is>
          <t>Bedroom Essentials</t>
        </is>
      </c>
      <c r="B27" s="7" t="inlineStr">
        <is>
          <t>Wardrobe Hangers Pack</t>
        </is>
      </c>
      <c r="C27" s="7" t="inlineStr">
        <is>
          <t>Set of 20 high-quality wooden/rubberized anti-slip hangers</t>
        </is>
      </c>
      <c r="D27" s="8" t="n">
        <v>4</v>
      </c>
      <c r="E27" s="9" t="n">
        <v>40</v>
      </c>
      <c r="F27" s="9">
        <f>D27*E27</f>
        <v/>
      </c>
    </row>
    <row r="28" ht="20" customHeight="1">
      <c r="A28" s="4" t="inlineStr">
        <is>
          <t>Bedroom Essentials</t>
        </is>
      </c>
      <c r="B28" s="4" t="inlineStr">
        <is>
          <t>Full-Length Dresser Mirror</t>
        </is>
      </c>
      <c r="C28" s="4" t="inlineStr">
        <is>
          <t>Wall-mounted or freestanding structural panel mirror</t>
        </is>
      </c>
      <c r="D28" s="5" t="n">
        <v>4</v>
      </c>
      <c r="E28" s="6" t="n">
        <v>150</v>
      </c>
      <c r="F28" s="6">
        <f>D28*E28</f>
        <v/>
      </c>
    </row>
    <row r="29" ht="20" customHeight="1">
      <c r="A29" s="7" t="inlineStr">
        <is>
          <t>Bedroom Essentials</t>
        </is>
      </c>
      <c r="B29" s="7" t="inlineStr">
        <is>
          <t>Bedroom Blackout Curtains Set</t>
        </is>
      </c>
      <c r="C29" s="7" t="inlineStr">
        <is>
          <t>Strict thermal/light blockage for guest sleep comfort</t>
        </is>
      </c>
      <c r="D29" s="8" t="n">
        <v>4</v>
      </c>
      <c r="E29" s="9" t="n">
        <v>350</v>
      </c>
      <c r="F29" s="9">
        <f>D29*E29</f>
        <v/>
      </c>
    </row>
    <row r="30" ht="20" customHeight="1">
      <c r="A30" s="4" t="inlineStr">
        <is>
          <t>Kitchen &amp; Appliances</t>
        </is>
      </c>
      <c r="B30" s="4" t="inlineStr">
        <is>
          <t>Refrigerator &amp; Freezer Combo</t>
        </is>
      </c>
      <c r="C30" s="4" t="inlineStr">
        <is>
          <t>No-frost, minimum 300L energy efficient double door</t>
        </is>
      </c>
      <c r="D30" s="5" t="n">
        <v>1</v>
      </c>
      <c r="E30" s="6" t="n">
        <v>1400</v>
      </c>
      <c r="F30" s="6">
        <f>D30*E30</f>
        <v/>
      </c>
    </row>
    <row r="31" ht="20" customHeight="1">
      <c r="A31" s="7" t="inlineStr">
        <is>
          <t>Kitchen &amp; Appliances</t>
        </is>
      </c>
      <c r="B31" s="7" t="inlineStr">
        <is>
          <t>Gas/Electric Cooker &amp; Oven</t>
        </is>
      </c>
      <c r="C31" s="7" t="inlineStr">
        <is>
          <t>4-burner integrated unit with safety gas-cutoff mechanism</t>
        </is>
      </c>
      <c r="D31" s="8" t="n">
        <v>1</v>
      </c>
      <c r="E31" s="9" t="n">
        <v>1200</v>
      </c>
      <c r="F31" s="9">
        <f>D31*E31</f>
        <v/>
      </c>
    </row>
    <row r="32" ht="20" customHeight="1">
      <c r="A32" s="4" t="inlineStr">
        <is>
          <t>Kitchen &amp; Appliances</t>
        </is>
      </c>
      <c r="B32" s="4" t="inlineStr">
        <is>
          <t>Microwave Oven</t>
        </is>
      </c>
      <c r="C32" s="4" t="inlineStr">
        <is>
          <t>Digital control interface, 20L minimum volume capacity</t>
        </is>
      </c>
      <c r="D32" s="5" t="n">
        <v>1</v>
      </c>
      <c r="E32" s="6" t="n">
        <v>250</v>
      </c>
      <c r="F32" s="6">
        <f>D32*E32</f>
        <v/>
      </c>
    </row>
    <row r="33" ht="20" customHeight="1">
      <c r="A33" s="7" t="inlineStr">
        <is>
          <t>Kitchen &amp; Appliances</t>
        </is>
      </c>
      <c r="B33" s="7" t="inlineStr">
        <is>
          <t>Electric Water Kettle</t>
        </is>
      </c>
      <c r="C33" s="7" t="inlineStr">
        <is>
          <t>Stainless steel automatic auto-shutoff 1.7L boiler</t>
        </is>
      </c>
      <c r="D33" s="8" t="n">
        <v>1</v>
      </c>
      <c r="E33" s="9" t="n">
        <v>80</v>
      </c>
      <c r="F33" s="9">
        <f>D33*E33</f>
        <v/>
      </c>
    </row>
    <row r="34" ht="20" customHeight="1">
      <c r="A34" s="4" t="inlineStr">
        <is>
          <t>Kitchen &amp; Appliances</t>
        </is>
      </c>
      <c r="B34" s="4" t="inlineStr">
        <is>
          <t>2-Slot Bread Toaster</t>
        </is>
      </c>
      <c r="C34" s="4" t="inlineStr">
        <is>
          <t>Variable browning control settings interface</t>
        </is>
      </c>
      <c r="D34" s="5" t="n">
        <v>1</v>
      </c>
      <c r="E34" s="6" t="n">
        <v>90</v>
      </c>
      <c r="F34" s="6">
        <f>D34*E34</f>
        <v/>
      </c>
    </row>
    <row r="35" ht="20" customHeight="1">
      <c r="A35" s="7" t="inlineStr">
        <is>
          <t>Kitchen &amp; Appliances</t>
        </is>
      </c>
      <c r="B35" s="7" t="inlineStr">
        <is>
          <t>Nespresso Capsule Coffee Machine</t>
        </is>
      </c>
      <c r="C35" s="7" t="inlineStr">
        <is>
          <t>Espresso pod maker for premium welcome tier rating</t>
        </is>
      </c>
      <c r="D35" s="8" t="n">
        <v>1</v>
      </c>
      <c r="E35" s="9" t="n">
        <v>450</v>
      </c>
      <c r="F35" s="9">
        <f>D35*E35</f>
        <v/>
      </c>
    </row>
    <row r="36" ht="20" customHeight="1">
      <c r="A36" s="4" t="inlineStr">
        <is>
          <t>Kitchen &amp; Appliances</t>
        </is>
      </c>
      <c r="B36" s="4" t="inlineStr">
        <is>
          <t>Washing Machine &amp; Dryer Combo</t>
        </is>
      </c>
      <c r="C36" s="4" t="inlineStr">
        <is>
          <t>Front load 7kg/5kg wash-and-dry automated cycles</t>
        </is>
      </c>
      <c r="D36" s="5" t="n">
        <v>1</v>
      </c>
      <c r="E36" s="6" t="n">
        <v>1600</v>
      </c>
      <c r="F36" s="6">
        <f>D36*E36</f>
        <v/>
      </c>
    </row>
    <row r="37" ht="20" customHeight="1">
      <c r="A37" s="7" t="inlineStr">
        <is>
          <t>Kitchen &amp; Appliances</t>
        </is>
      </c>
      <c r="B37" s="7" t="inlineStr">
        <is>
          <t>Non-Stick Cookware Set</t>
        </is>
      </c>
      <c r="C37" s="7" t="inlineStr">
        <is>
          <t>2 Frying pans, 2 Casserole pots with glass lids, 1 wok</t>
        </is>
      </c>
      <c r="D37" s="8" t="n">
        <v>1</v>
      </c>
      <c r="E37" s="9" t="n">
        <v>280</v>
      </c>
      <c r="F37" s="9">
        <f>D37*E37</f>
        <v/>
      </c>
    </row>
    <row r="38" ht="20" customHeight="1">
      <c r="A38" s="4" t="inlineStr">
        <is>
          <t>Kitchen &amp; Appliances</t>
        </is>
      </c>
      <c r="B38" s="4" t="inlineStr">
        <is>
          <t>Chef Knife &amp; Cutting Board Set</t>
        </is>
      </c>
      <c r="C38" s="4" t="inlineStr">
        <is>
          <t>Stainless steel knife bundle + multi-color hygienic boards</t>
        </is>
      </c>
      <c r="D38" s="5" t="n">
        <v>1</v>
      </c>
      <c r="E38" s="6" t="n">
        <v>120</v>
      </c>
      <c r="F38" s="6">
        <f>D38*E38</f>
        <v/>
      </c>
    </row>
    <row r="39" ht="20" customHeight="1">
      <c r="A39" s="7" t="inlineStr">
        <is>
          <t>Kitchen &amp; Appliances</t>
        </is>
      </c>
      <c r="B39" s="7" t="inlineStr">
        <is>
          <t>Dinnerware Sets (Plates &amp; Bowls)</t>
        </is>
      </c>
      <c r="C39" s="7" t="inlineStr">
        <is>
          <t>Corelle or ceramic chip-resistant sets (scaled to max capacity)</t>
        </is>
      </c>
      <c r="D39" s="8" t="n">
        <v>1</v>
      </c>
      <c r="E39" s="9" t="n">
        <v>300</v>
      </c>
      <c r="F39" s="9">
        <f>D39*E39</f>
        <v/>
      </c>
    </row>
    <row r="40" ht="20" customHeight="1">
      <c r="A40" s="4" t="inlineStr">
        <is>
          <t>Kitchen &amp; Appliances</t>
        </is>
      </c>
      <c r="B40" s="4" t="inlineStr">
        <is>
          <t>Glassware Set (Water &amp; Wine)</t>
        </is>
      </c>
      <c r="C40" s="4" t="inlineStr">
        <is>
          <t>High transparency tempered lead-free glassware items</t>
        </is>
      </c>
      <c r="D40" s="5" t="n">
        <v>1</v>
      </c>
      <c r="E40" s="6" t="n">
        <v>200</v>
      </c>
      <c r="F40" s="6">
        <f>D40*E40</f>
        <v/>
      </c>
    </row>
    <row r="41" ht="20" customHeight="1">
      <c r="A41" s="7" t="inlineStr">
        <is>
          <t>Kitchen &amp; Appliances</t>
        </is>
      </c>
      <c r="B41" s="7" t="inlineStr">
        <is>
          <t>Stainless Steel Cutlery Set</t>
        </is>
      </c>
      <c r="C41" s="7" t="inlineStr">
        <is>
          <t>Forks, knives, tablespoons, teaspoons boxed package</t>
        </is>
      </c>
      <c r="D41" s="8" t="n">
        <v>1</v>
      </c>
      <c r="E41" s="9" t="n">
        <v>225</v>
      </c>
      <c r="F41" s="9">
        <f>D41*E41</f>
        <v/>
      </c>
    </row>
    <row r="42" ht="20" customHeight="1">
      <c r="A42" s="4" t="inlineStr">
        <is>
          <t>Kitchen &amp; Appliances</t>
        </is>
      </c>
      <c r="B42" s="4" t="inlineStr">
        <is>
          <t>Kitchen Trash Can &amp; Tool Set</t>
        </is>
      </c>
      <c r="C42" s="4" t="inlineStr">
        <is>
          <t>Step-on airtight pedal bin, can opener, ladles, corkscrew</t>
        </is>
      </c>
      <c r="D42" s="5" t="n">
        <v>1</v>
      </c>
      <c r="E42" s="6" t="n">
        <v>140</v>
      </c>
      <c r="F42" s="6">
        <f>D42*E42</f>
        <v/>
      </c>
    </row>
    <row r="43" ht="20" customHeight="1">
      <c r="A43" s="7" t="inlineStr">
        <is>
          <t>Bathroom Amenities</t>
        </is>
      </c>
      <c r="B43" s="7" t="inlineStr">
        <is>
          <t>Premium Towels Set (2 Changes)</t>
        </is>
      </c>
      <c r="C43" s="7" t="inlineStr">
        <is>
          <t>100% Cotton 600GSM: Bath, Hand, Face towels per occupant</t>
        </is>
      </c>
      <c r="D43" s="8" t="n">
        <v>8</v>
      </c>
      <c r="E43" s="9" t="n">
        <v>90</v>
      </c>
      <c r="F43" s="9">
        <f>D43*E43</f>
        <v/>
      </c>
    </row>
    <row r="44" ht="20" customHeight="1">
      <c r="A44" s="4" t="inlineStr">
        <is>
          <t>Bathroom Amenities</t>
        </is>
      </c>
      <c r="B44" s="4" t="inlineStr">
        <is>
          <t>Ionic Hairdryer</t>
        </is>
      </c>
      <c r="C44" s="4" t="inlineStr">
        <is>
          <t>Wall-mount or storage bracket type 1800W+ capacity</t>
        </is>
      </c>
      <c r="D44" s="5" t="n">
        <v>5</v>
      </c>
      <c r="E44" s="6" t="n">
        <v>110</v>
      </c>
      <c r="F44" s="6">
        <f>D44*E44</f>
        <v/>
      </c>
    </row>
    <row r="45" ht="20" customHeight="1">
      <c r="A45" s="7" t="inlineStr">
        <is>
          <t>Bathroom Amenities</t>
        </is>
      </c>
      <c r="B45" s="7" t="inlineStr">
        <is>
          <t>Pedal Waste Bin &amp; Toilet Brush Set</t>
        </is>
      </c>
      <c r="C45" s="7" t="inlineStr">
        <is>
          <t>Stainless steel rust-free bathroom functional accessory</t>
        </is>
      </c>
      <c r="D45" s="8" t="n">
        <v>5</v>
      </c>
      <c r="E45" s="9" t="n">
        <v>70</v>
      </c>
      <c r="F45" s="9">
        <f>D45*E45</f>
        <v/>
      </c>
    </row>
    <row r="46" ht="20" customHeight="1">
      <c r="A46" s="4" t="inlineStr">
        <is>
          <t>Bathroom Amenities</t>
        </is>
      </c>
      <c r="B46" s="4" t="inlineStr">
        <is>
          <t>Non-Slip Shower Mat &amp; Floor Towel</t>
        </is>
      </c>
      <c r="C46" s="4" t="inlineStr">
        <is>
          <t>Rubberized anti-skid backing for liability compliance</t>
        </is>
      </c>
      <c r="D46" s="5" t="n">
        <v>5</v>
      </c>
      <c r="E46" s="6" t="n">
        <v>50</v>
      </c>
      <c r="F46" s="6">
        <f>D46*E46</f>
        <v/>
      </c>
    </row>
    <row r="47" ht="20" customHeight="1">
      <c r="A47" s="7" t="inlineStr">
        <is>
          <t>Utilities &amp; Upkeep</t>
        </is>
      </c>
      <c r="B47" s="7" t="inlineStr">
        <is>
          <t>Vacuum Cleaner (Bagless)</t>
        </is>
      </c>
      <c r="C47" s="7" t="inlineStr">
        <is>
          <t>High suction multi-surface cyclical motor assembly</t>
        </is>
      </c>
      <c r="D47" s="8" t="n">
        <v>1</v>
      </c>
      <c r="E47" s="9" t="n">
        <v>350</v>
      </c>
      <c r="F47" s="9">
        <f>D47*E47</f>
        <v/>
      </c>
    </row>
    <row r="48" ht="20" customHeight="1">
      <c r="A48" s="4" t="inlineStr">
        <is>
          <t>Utilities &amp; Upkeep</t>
        </is>
      </c>
      <c r="B48" s="4" t="inlineStr">
        <is>
          <t>Ironing Board &amp; Steam Iron Set</t>
        </is>
      </c>
      <c r="C48" s="4" t="inlineStr">
        <is>
          <t>Foldable padded heavy duty board + vertical steam generator</t>
        </is>
      </c>
      <c r="D48" s="5" t="n">
        <v>1</v>
      </c>
      <c r="E48" s="6" t="n">
        <v>220</v>
      </c>
      <c r="F48" s="6">
        <f>D48*E48</f>
        <v/>
      </c>
    </row>
    <row r="49" ht="20" customHeight="1">
      <c r="A49" s="7" t="inlineStr">
        <is>
          <t>Utilities &amp; Upkeep</t>
        </is>
      </c>
      <c r="B49" s="7" t="inlineStr">
        <is>
          <t>Cloth Drying Rack</t>
        </is>
      </c>
      <c r="C49" s="7" t="inlineStr">
        <is>
          <t>Collapsible wing rack for balcony layout setting</t>
        </is>
      </c>
      <c r="D49" s="8" t="n">
        <v>1</v>
      </c>
      <c r="E49" s="9" t="n">
        <v>95</v>
      </c>
      <c r="F49" s="9">
        <f>D49*E49</f>
        <v/>
      </c>
    </row>
    <row r="50" ht="20" customHeight="1">
      <c r="A50" s="4" t="inlineStr">
        <is>
          <t>Utilities &amp; Upkeep</t>
        </is>
      </c>
      <c r="B50" s="4" t="inlineStr">
        <is>
          <t>Mop, Broom &amp; Cleaning Supply Bundle</t>
        </is>
      </c>
      <c r="C50" s="4" t="inlineStr">
        <is>
          <t>Microfiber floor mop, soft bristles, starter cleaning fluids</t>
        </is>
      </c>
      <c r="D50" s="5" t="n">
        <v>1</v>
      </c>
      <c r="E50" s="6" t="n">
        <v>110</v>
      </c>
      <c r="F50" s="6">
        <f>D50*E50</f>
        <v/>
      </c>
    </row>
    <row r="51" ht="20" customHeight="1">
      <c r="A51" s="7" t="inlineStr">
        <is>
          <t>Utilities &amp; Upkeep</t>
        </is>
      </c>
      <c r="B51" s="7" t="inlineStr">
        <is>
          <t>Islamic Prayer Mat</t>
        </is>
      </c>
      <c r="C51" s="7" t="inlineStr">
        <is>
          <t>Standard clean textile layout (Required by DET checklist regulations)</t>
        </is>
      </c>
      <c r="D51" s="8" t="n">
        <v>4</v>
      </c>
      <c r="E51" s="9" t="n">
        <v>35</v>
      </c>
      <c r="F51" s="9">
        <f>D51*E51</f>
        <v/>
      </c>
    </row>
    <row r="52" ht="24" customHeight="1">
      <c r="A52" s="10" t="inlineStr">
        <is>
          <t>Total Estimated Setup Cost</t>
        </is>
      </c>
      <c r="B52" s="11" t="n"/>
      <c r="C52" s="11" t="n"/>
      <c r="D52" s="11" t="n"/>
      <c r="E52" s="11" t="n"/>
      <c r="F52" s="12">
        <f>SUM(F4:F51)</f>
        <v/>
      </c>
    </row>
  </sheetData>
  <mergeCells count="2">
    <mergeCell ref="A52:E5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2026-06-23T16:51:38Z</dcterms:created>
  <dcterms:modified xmlns:dcterms="http://purl.org/dc/terms/" xmlns:xsi="http://www.w3.org/2001/XMLSchema-instance" xsi:type="dcterms:W3CDTF">2026-06-23T16:51:38Z</dcterms:modified>
</cp:coreProperties>
</file>